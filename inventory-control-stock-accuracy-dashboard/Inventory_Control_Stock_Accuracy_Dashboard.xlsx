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KPI_Calculations" sheetId="3" state="visible" r:id="rId3"/>
    <sheet xmlns:r="http://schemas.openxmlformats.org/officeDocument/2006/relationships" name="Project_ReadMe" sheetId="4" state="visible" r:id="rId4"/>
  </sheets>
  <definedNames>
    <definedName name="_xlnm._FilterDatabase" localSheetId="1" hidden="1">'Raw_Data'!$A$1:$Q$121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dd-mmm-yyyy"/>
  </numFmts>
  <fonts count="11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  <font>
      <b val="1"/>
      <color rgb="00FFFFFF"/>
      <sz val="20"/>
    </font>
    <font>
      <i val="1"/>
      <color rgb="00666666"/>
    </font>
    <font>
      <b val="1"/>
      <color rgb="001F1F1F"/>
      <sz val="11"/>
    </font>
    <font>
      <b val="1"/>
      <sz val="11"/>
    </font>
    <font>
      <b val="1"/>
      <sz val="20"/>
    </font>
    <font>
      <b val="1"/>
      <color rgb="00FFFFFF"/>
      <sz val="13"/>
    </font>
    <font>
      <b val="1"/>
      <color rgb="00FFFFFF"/>
      <sz val="18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E7E6E6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7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3" fontId="8" fillId="3" borderId="0" applyAlignment="1" pivotButton="0" quotePrefix="0" xfId="0">
      <alignment horizontal="center" vertical="center"/>
    </xf>
    <xf numFmtId="4" fontId="8" fillId="4" borderId="0" applyAlignment="1" pivotButton="0" quotePrefix="0" xfId="0">
      <alignment horizontal="center" vertical="center"/>
    </xf>
    <xf numFmtId="165" fontId="8" fillId="4" borderId="0" applyAlignment="1" pivotButton="0" quotePrefix="0" xfId="0">
      <alignment horizontal="center" vertical="center"/>
    </xf>
    <xf numFmtId="3" fontId="8" fillId="5" borderId="0" applyAlignment="1" pivotButton="0" quotePrefix="0" xfId="0">
      <alignment horizontal="center" vertical="center"/>
    </xf>
    <xf numFmtId="0" fontId="9" fillId="2" borderId="0" pivotButton="0" quotePrefix="0" xfId="0"/>
    <xf numFmtId="0" fontId="3" fillId="6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0" fillId="7" borderId="0" applyAlignment="1" pivotButton="0" quotePrefix="0" xfId="0">
      <alignment wrapText="1"/>
    </xf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166" fontId="0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1" pivotButton="0" quotePrefix="0" xfId="0"/>
    <xf numFmtId="0" fontId="1" fillId="2" borderId="0" pivotButton="0" quotePrefix="0" xfId="0"/>
    <xf numFmtId="4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0" fontId="10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Stock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'Dashboard'!$A$10:$A$12</f>
            </numRef>
          </cat>
          <val>
            <numRef>
              <f>'Dashboard'!$B$10:$B$12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Variance by Warehouse Location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'Dashboard'!G9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'Dashboard'!$E$10:$E$15</f>
            </numRef>
          </cat>
          <val>
            <numRef>
              <f>'Dashboard'!$G$10:$G$15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Location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Variance Quantity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15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INVENTORY CONTROL &amp; STOCK ACCURACY DASHBOARD</t>
        </is>
      </c>
    </row>
    <row r="2">
      <c r="A2" s="2" t="inlineStr">
        <is>
          <t>Professional portfolio project • Synthetic warehouse dataset • AED values used for demonstration</t>
        </is>
      </c>
    </row>
    <row r="4" ht="28" customHeight="1">
      <c r="A4" s="3" t="inlineStr">
        <is>
          <t>Total SKUs</t>
        </is>
      </c>
      <c r="C4" s="4" t="inlineStr">
        <is>
          <t>Inventory Value</t>
        </is>
      </c>
      <c r="E4" s="4" t="inlineStr">
        <is>
          <t>Stock Accuracy</t>
        </is>
      </c>
      <c r="G4" s="5" t="inlineStr">
        <is>
          <t>Abs. Variance Qty</t>
        </is>
      </c>
    </row>
    <row r="5" ht="28" customHeight="1">
      <c r="A5" s="6">
        <f>KPI_Calculations!B3</f>
        <v/>
      </c>
      <c r="C5" s="7">
        <f>KPI_Calculations!B4</f>
        <v/>
      </c>
      <c r="E5" s="8">
        <f>KPI_Calculations!B8</f>
        <v/>
      </c>
      <c r="G5" s="9">
        <f>KPI_Calculations!B7</f>
        <v/>
      </c>
    </row>
    <row r="6" ht="28" customHeight="1"/>
    <row r="8">
      <c r="A8" s="10" t="inlineStr">
        <is>
          <t>Stock Status</t>
        </is>
      </c>
      <c r="E8" s="10" t="inlineStr">
        <is>
          <t>Location Performance</t>
        </is>
      </c>
    </row>
    <row r="9">
      <c r="A9" s="11" t="inlineStr">
        <is>
          <t>Status</t>
        </is>
      </c>
      <c r="B9" s="11" t="inlineStr">
        <is>
          <t>SKU Count</t>
        </is>
      </c>
      <c r="C9" s="11" t="inlineStr">
        <is>
          <t>Share</t>
        </is>
      </c>
      <c r="E9" s="11" t="inlineStr">
        <is>
          <t>Location</t>
        </is>
      </c>
      <c r="F9" s="11" t="inlineStr">
        <is>
          <t>SKU Count</t>
        </is>
      </c>
      <c r="G9" s="11" t="inlineStr">
        <is>
          <t>Variance Qty</t>
        </is>
      </c>
      <c r="H9" s="11" t="inlineStr">
        <is>
          <t>Accuracy %</t>
        </is>
      </c>
    </row>
    <row r="10">
      <c r="A10" t="inlineStr">
        <is>
          <t>Accurate</t>
        </is>
      </c>
      <c r="B10">
        <f>COUNTIF(Raw_Data!N2:N121,A10)</f>
        <v/>
      </c>
      <c r="C10" s="12">
        <f>B10/$B$13</f>
        <v/>
      </c>
      <c r="E10">
        <f>KPI_Calculations!D4</f>
        <v/>
      </c>
      <c r="F10">
        <f>KPI_Calculations!E4</f>
        <v/>
      </c>
      <c r="G10">
        <f>KPI_Calculations!G4</f>
        <v/>
      </c>
      <c r="H10" s="12">
        <f>KPI_Calculations!H4</f>
        <v/>
      </c>
    </row>
    <row r="11">
      <c r="A11" t="inlineStr">
        <is>
          <t>Shortage</t>
        </is>
      </c>
      <c r="B11">
        <f>COUNTIF(Raw_Data!N2:N121,A11)</f>
        <v/>
      </c>
      <c r="C11" s="12">
        <f>B11/$B$13</f>
        <v/>
      </c>
      <c r="E11">
        <f>KPI_Calculations!D5</f>
        <v/>
      </c>
      <c r="F11">
        <f>KPI_Calculations!E5</f>
        <v/>
      </c>
      <c r="G11">
        <f>KPI_Calculations!G5</f>
        <v/>
      </c>
      <c r="H11" s="12">
        <f>KPI_Calculations!H5</f>
        <v/>
      </c>
    </row>
    <row r="12">
      <c r="A12" t="inlineStr">
        <is>
          <t>Excess</t>
        </is>
      </c>
      <c r="B12">
        <f>COUNTIF(Raw_Data!N2:N121,A12)</f>
        <v/>
      </c>
      <c r="C12" s="12">
        <f>B12/$B$13</f>
        <v/>
      </c>
      <c r="E12">
        <f>KPI_Calculations!D6</f>
        <v/>
      </c>
      <c r="F12">
        <f>KPI_Calculations!E6</f>
        <v/>
      </c>
      <c r="G12">
        <f>KPI_Calculations!G6</f>
        <v/>
      </c>
      <c r="H12" s="12">
        <f>KPI_Calculations!H6</f>
        <v/>
      </c>
    </row>
    <row r="13">
      <c r="A13" s="13" t="inlineStr">
        <is>
          <t>Total</t>
        </is>
      </c>
      <c r="B13" s="13">
        <f>SUM(B10:B12)</f>
        <v/>
      </c>
      <c r="C13" s="12">
        <f>SUM(C10:C12)</f>
        <v/>
      </c>
      <c r="E13">
        <f>KPI_Calculations!D7</f>
        <v/>
      </c>
      <c r="F13">
        <f>KPI_Calculations!E7</f>
        <v/>
      </c>
      <c r="G13">
        <f>KPI_Calculations!G7</f>
        <v/>
      </c>
      <c r="H13" s="12">
        <f>KPI_Calculations!H7</f>
        <v/>
      </c>
    </row>
    <row r="14">
      <c r="E14">
        <f>KPI_Calculations!D8</f>
        <v/>
      </c>
      <c r="F14">
        <f>KPI_Calculations!E8</f>
        <v/>
      </c>
      <c r="G14">
        <f>KPI_Calculations!G8</f>
        <v/>
      </c>
      <c r="H14" s="12">
        <f>KPI_Calculations!H8</f>
        <v/>
      </c>
    </row>
    <row r="15">
      <c r="E15">
        <f>KPI_Calculations!D9</f>
        <v/>
      </c>
      <c r="F15">
        <f>KPI_Calculations!E9</f>
        <v/>
      </c>
      <c r="G15">
        <f>KPI_Calculations!G9</f>
        <v/>
      </c>
      <c r="H15" s="12">
        <f>KPI_Calculations!H9</f>
        <v/>
      </c>
    </row>
    <row r="31">
      <c r="A31" s="10" t="inlineStr">
        <is>
          <t>Management Action Areas</t>
        </is>
      </c>
    </row>
    <row r="32">
      <c r="A32" s="14" t="inlineStr">
        <is>
          <t>1. Investigate shortage SKUs and validate physical locations.</t>
        </is>
      </c>
    </row>
    <row r="33">
      <c r="A33" s="14" t="inlineStr">
        <is>
          <t>2. Review excess stock for slow-moving / duplicate inventory.</t>
        </is>
      </c>
    </row>
    <row r="34">
      <c r="A34" s="14" t="inlineStr">
        <is>
          <t>3. Prioritize locations with accuracy below 95%.</t>
        </is>
      </c>
    </row>
    <row r="35">
      <c r="A35" s="14" t="inlineStr">
        <is>
          <t>4. Close pending cycle counts to improve inventory visibility.</t>
        </is>
      </c>
    </row>
    <row r="36">
      <c r="A36" s="14" t="inlineStr">
        <is>
          <t>5. Record root causes and corrective actions for recurring variances.</t>
        </is>
      </c>
    </row>
  </sheetData>
  <mergeCells count="18">
    <mergeCell ref="A5:B6"/>
    <mergeCell ref="G5:H6"/>
    <mergeCell ref="A36:H36"/>
    <mergeCell ref="A1:H1"/>
    <mergeCell ref="C4:D4"/>
    <mergeCell ref="E4:F4"/>
    <mergeCell ref="A8:C8"/>
    <mergeCell ref="E8:H8"/>
    <mergeCell ref="A2:H2"/>
    <mergeCell ref="C5:D6"/>
    <mergeCell ref="A33:H33"/>
    <mergeCell ref="E5:F6"/>
    <mergeCell ref="A32:H32"/>
    <mergeCell ref="A4:B4"/>
    <mergeCell ref="G4:H4"/>
    <mergeCell ref="A35:H35"/>
    <mergeCell ref="A31:H31"/>
    <mergeCell ref="A34:H34"/>
  </mergeCells>
  <conditionalFormatting sqref="H10:H15">
    <cfRule type="cellIs" priority="1" operator="lessThan" dxfId="0">
      <formula>0.95</formula>
    </cfRule>
    <cfRule type="cellIs" priority="2" operator="greaterThanOrEqual" dxfId="1">
      <formula>0.95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2" customWidth="1" min="4" max="4"/>
    <col width="12" customWidth="1" min="5" max="5"/>
    <col width="12" customWidth="1" min="6" max="6"/>
    <col width="16" customWidth="1" min="7" max="7"/>
    <col width="18" customWidth="1" min="8" max="8"/>
    <col width="18" customWidth="1" min="9" max="9"/>
    <col width="13" customWidth="1" min="10" max="10"/>
    <col width="13" customWidth="1" min="11" max="11"/>
    <col width="12" customWidth="1" min="12" max="12"/>
    <col width="13" customWidth="1" min="13" max="13"/>
    <col width="14" customWidth="1" min="14" max="14"/>
    <col width="22" customWidth="1" min="15" max="15"/>
    <col width="18" customWidth="1" min="16" max="16"/>
    <col width="16" customWidth="1" min="17" max="17"/>
  </cols>
  <sheetData>
    <row r="1">
      <c r="A1" s="15" t="inlineStr">
        <is>
          <t>SKU</t>
        </is>
      </c>
      <c r="B1" s="15" t="inlineStr">
        <is>
          <t>Description</t>
        </is>
      </c>
      <c r="C1" s="15" t="inlineStr">
        <is>
          <t>Category</t>
        </is>
      </c>
      <c r="D1" s="15" t="inlineStr">
        <is>
          <t>Location</t>
        </is>
      </c>
      <c r="E1" s="15" t="inlineStr">
        <is>
          <t>System Qty</t>
        </is>
      </c>
      <c r="F1" s="15" t="inlineStr">
        <is>
          <t>Physical Qty</t>
        </is>
      </c>
      <c r="G1" s="15" t="inlineStr">
        <is>
          <t>Unit Cost (AED)</t>
        </is>
      </c>
      <c r="H1" s="15" t="inlineStr">
        <is>
          <t>System Value (AED)</t>
        </is>
      </c>
      <c r="I1" s="15" t="inlineStr">
        <is>
          <t>Physical Value (AED)</t>
        </is>
      </c>
      <c r="J1" s="15" t="inlineStr">
        <is>
          <t>Variance Qty</t>
        </is>
      </c>
      <c r="K1" s="15" t="inlineStr">
        <is>
          <t>Abs Variance</t>
        </is>
      </c>
      <c r="L1" s="15" t="inlineStr">
        <is>
          <t>Accuracy %</t>
        </is>
      </c>
      <c r="M1" s="15" t="inlineStr">
        <is>
          <t>Aging (Days)</t>
        </is>
      </c>
      <c r="N1" s="15" t="inlineStr">
        <is>
          <t>Status</t>
        </is>
      </c>
      <c r="O1" s="15" t="inlineStr">
        <is>
          <t>Root Cause</t>
        </is>
      </c>
      <c r="P1" s="15" t="inlineStr">
        <is>
          <t>Cycle Count Status</t>
        </is>
      </c>
      <c r="Q1" s="15" t="inlineStr">
        <is>
          <t>Last Count Date</t>
        </is>
      </c>
    </row>
    <row r="2">
      <c r="A2" t="inlineStr">
        <is>
          <t>SKU-0001</t>
        </is>
      </c>
      <c r="B2" t="inlineStr">
        <is>
          <t>Connector</t>
        </is>
      </c>
      <c r="C2" t="inlineStr">
        <is>
          <t>Electrical</t>
        </is>
      </c>
      <c r="D2" t="inlineStr">
        <is>
          <t>WH-C02</t>
        </is>
      </c>
      <c r="E2" t="n">
        <v>150</v>
      </c>
      <c r="F2" t="n">
        <v>150</v>
      </c>
      <c r="G2" s="16" t="n">
        <v>125.49</v>
      </c>
      <c r="H2" s="16" t="n">
        <v>18823.5</v>
      </c>
      <c r="I2" s="16" t="n">
        <v>18823.5</v>
      </c>
      <c r="J2" t="n">
        <v>0</v>
      </c>
      <c r="K2" t="n">
        <v>0</v>
      </c>
      <c r="L2" s="12" t="n">
        <v>1</v>
      </c>
      <c r="M2" t="n">
        <v>31</v>
      </c>
      <c r="N2" t="inlineStr">
        <is>
          <t>Accurate</t>
        </is>
      </c>
      <c r="O2" t="inlineStr">
        <is>
          <t>No Variance</t>
        </is>
      </c>
      <c r="P2" t="inlineStr">
        <is>
          <t>Completed</t>
        </is>
      </c>
      <c r="Q2" s="17" t="n">
        <v>46178</v>
      </c>
    </row>
    <row r="3">
      <c r="A3" t="inlineStr">
        <is>
          <t>SKU-0002</t>
        </is>
      </c>
      <c r="B3" t="inlineStr">
        <is>
          <t>Torque Wrench</t>
        </is>
      </c>
      <c r="C3" t="inlineStr">
        <is>
          <t>Tools</t>
        </is>
      </c>
      <c r="D3" t="inlineStr">
        <is>
          <t>WH-A01</t>
        </is>
      </c>
      <c r="E3" t="n">
        <v>57</v>
      </c>
      <c r="F3" t="n">
        <v>57</v>
      </c>
      <c r="G3" s="16" t="n">
        <v>433.51</v>
      </c>
      <c r="H3" s="16" t="n">
        <v>24710.07</v>
      </c>
      <c r="I3" s="16" t="n">
        <v>24710.07</v>
      </c>
      <c r="J3" t="n">
        <v>0</v>
      </c>
      <c r="K3" t="n">
        <v>0</v>
      </c>
      <c r="L3" s="12" t="n">
        <v>1</v>
      </c>
      <c r="M3" t="n">
        <v>11</v>
      </c>
      <c r="N3" t="inlineStr">
        <is>
          <t>Accurate</t>
        </is>
      </c>
      <c r="O3" t="inlineStr">
        <is>
          <t>No Variance</t>
        </is>
      </c>
      <c r="P3" t="inlineStr">
        <is>
          <t>Completed</t>
        </is>
      </c>
      <c r="Q3" s="17" t="n">
        <v>46210</v>
      </c>
    </row>
    <row r="4">
      <c r="A4" t="inlineStr">
        <is>
          <t>SKU-0003</t>
        </is>
      </c>
      <c r="B4" t="inlineStr">
        <is>
          <t>Safety Vest</t>
        </is>
      </c>
      <c r="C4" t="inlineStr">
        <is>
          <t>Safety</t>
        </is>
      </c>
      <c r="D4" t="inlineStr">
        <is>
          <t>WH-A02</t>
        </is>
      </c>
      <c r="E4" t="n">
        <v>239</v>
      </c>
      <c r="F4" t="n">
        <v>239</v>
      </c>
      <c r="G4" s="16" t="n">
        <v>689.54</v>
      </c>
      <c r="H4" s="16" t="n">
        <v>164800.06</v>
      </c>
      <c r="I4" s="16" t="n">
        <v>164800.06</v>
      </c>
      <c r="J4" t="n">
        <v>0</v>
      </c>
      <c r="K4" t="n">
        <v>0</v>
      </c>
      <c r="L4" s="12" t="n">
        <v>1</v>
      </c>
      <c r="M4" t="n">
        <v>6</v>
      </c>
      <c r="N4" t="inlineStr">
        <is>
          <t>Accurate</t>
        </is>
      </c>
      <c r="O4" t="inlineStr">
        <is>
          <t>No Variance</t>
        </is>
      </c>
      <c r="P4" t="inlineStr">
        <is>
          <t>Completed</t>
        </is>
      </c>
      <c r="Q4" s="17" t="n">
        <v>46205</v>
      </c>
    </row>
    <row r="5">
      <c r="A5" t="inlineStr">
        <is>
          <t>SKU-0004</t>
        </is>
      </c>
      <c r="B5" t="inlineStr">
        <is>
          <t>Hand Tool Set</t>
        </is>
      </c>
      <c r="C5" t="inlineStr">
        <is>
          <t>Tools</t>
        </is>
      </c>
      <c r="D5" t="inlineStr">
        <is>
          <t>WH-B01</t>
        </is>
      </c>
      <c r="E5" t="n">
        <v>89</v>
      </c>
      <c r="F5" t="n">
        <v>89</v>
      </c>
      <c r="G5" s="16" t="n">
        <v>650.86</v>
      </c>
      <c r="H5" s="16" t="n">
        <v>57926.54</v>
      </c>
      <c r="I5" s="16" t="n">
        <v>57926.54</v>
      </c>
      <c r="J5" t="n">
        <v>0</v>
      </c>
      <c r="K5" t="n">
        <v>0</v>
      </c>
      <c r="L5" s="12" t="n">
        <v>1</v>
      </c>
      <c r="M5" t="n">
        <v>31</v>
      </c>
      <c r="N5" t="inlineStr">
        <is>
          <t>Accurate</t>
        </is>
      </c>
      <c r="O5" t="inlineStr">
        <is>
          <t>No Variance</t>
        </is>
      </c>
      <c r="P5" t="inlineStr">
        <is>
          <t>Completed</t>
        </is>
      </c>
      <c r="Q5" s="17" t="n">
        <v>46124</v>
      </c>
    </row>
    <row r="6">
      <c r="A6" t="inlineStr">
        <is>
          <t>SKU-0005</t>
        </is>
      </c>
      <c r="B6" t="inlineStr">
        <is>
          <t>Relay</t>
        </is>
      </c>
      <c r="C6" t="inlineStr">
        <is>
          <t>Electrical</t>
        </is>
      </c>
      <c r="D6" t="inlineStr">
        <is>
          <t>WH-B01</t>
        </is>
      </c>
      <c r="E6" t="n">
        <v>319</v>
      </c>
      <c r="F6" t="n">
        <v>319</v>
      </c>
      <c r="G6" s="16" t="n">
        <v>44.59</v>
      </c>
      <c r="H6" s="16" t="n">
        <v>14224.21</v>
      </c>
      <c r="I6" s="16" t="n">
        <v>14224.21</v>
      </c>
      <c r="J6" t="n">
        <v>0</v>
      </c>
      <c r="K6" t="n">
        <v>0</v>
      </c>
      <c r="L6" s="12" t="n">
        <v>1</v>
      </c>
      <c r="M6" t="n">
        <v>122</v>
      </c>
      <c r="N6" t="inlineStr">
        <is>
          <t>Accurate</t>
        </is>
      </c>
      <c r="O6" t="inlineStr">
        <is>
          <t>No Variance</t>
        </is>
      </c>
      <c r="P6" t="inlineStr">
        <is>
          <t>Completed</t>
        </is>
      </c>
      <c r="Q6" s="17" t="n">
        <v>46123</v>
      </c>
    </row>
    <row r="7">
      <c r="A7" t="inlineStr">
        <is>
          <t>SKU-0006</t>
        </is>
      </c>
      <c r="B7" t="inlineStr">
        <is>
          <t>Terminal Block</t>
        </is>
      </c>
      <c r="C7" t="inlineStr">
        <is>
          <t>Electrical</t>
        </is>
      </c>
      <c r="D7" t="inlineStr">
        <is>
          <t>WH-B01</t>
        </is>
      </c>
      <c r="E7" t="n">
        <v>434</v>
      </c>
      <c r="F7" t="n">
        <v>434</v>
      </c>
      <c r="G7" s="16" t="n">
        <v>753.55</v>
      </c>
      <c r="H7" s="16" t="n">
        <v>327040.7</v>
      </c>
      <c r="I7" s="16" t="n">
        <v>327040.7</v>
      </c>
      <c r="J7" t="n">
        <v>0</v>
      </c>
      <c r="K7" t="n">
        <v>0</v>
      </c>
      <c r="L7" s="12" t="n">
        <v>1</v>
      </c>
      <c r="M7" t="n">
        <v>97</v>
      </c>
      <c r="N7" t="inlineStr">
        <is>
          <t>Accurate</t>
        </is>
      </c>
      <c r="O7" t="inlineStr">
        <is>
          <t>No Variance</t>
        </is>
      </c>
      <c r="P7" t="inlineStr">
        <is>
          <t>Completed</t>
        </is>
      </c>
      <c r="Q7" s="17" t="n">
        <v>46207</v>
      </c>
    </row>
    <row r="8">
      <c r="A8" t="inlineStr">
        <is>
          <t>SKU-0007</t>
        </is>
      </c>
      <c r="B8" t="inlineStr">
        <is>
          <t>Connector</t>
        </is>
      </c>
      <c r="C8" t="inlineStr">
        <is>
          <t>Electrical</t>
        </is>
      </c>
      <c r="D8" t="inlineStr">
        <is>
          <t>WH-C02</t>
        </is>
      </c>
      <c r="E8" t="n">
        <v>126</v>
      </c>
      <c r="F8" t="n">
        <v>124</v>
      </c>
      <c r="G8" s="16" t="n">
        <v>728.1799999999999</v>
      </c>
      <c r="H8" s="16" t="n">
        <v>91750.67999999999</v>
      </c>
      <c r="I8" s="16" t="n">
        <v>90294.32000000001</v>
      </c>
      <c r="J8" t="n">
        <v>-2</v>
      </c>
      <c r="K8" t="n">
        <v>2</v>
      </c>
      <c r="L8" s="12" t="n">
        <v>0.9841</v>
      </c>
      <c r="M8" t="n">
        <v>30</v>
      </c>
      <c r="N8" t="inlineStr">
        <is>
          <t>Shortage</t>
        </is>
      </c>
      <c r="O8" t="inlineStr">
        <is>
          <t>Damaged Stock</t>
        </is>
      </c>
      <c r="P8" t="inlineStr">
        <is>
          <t>Completed</t>
        </is>
      </c>
      <c r="Q8" s="17" t="n">
        <v>46143</v>
      </c>
    </row>
    <row r="9">
      <c r="A9" t="inlineStr">
        <is>
          <t>SKU-0008</t>
        </is>
      </c>
      <c r="B9" t="inlineStr">
        <is>
          <t>Adhesive</t>
        </is>
      </c>
      <c r="C9" t="inlineStr">
        <is>
          <t>Consumables</t>
        </is>
      </c>
      <c r="D9" t="inlineStr">
        <is>
          <t>WH-B01</t>
        </is>
      </c>
      <c r="E9" t="n">
        <v>191</v>
      </c>
      <c r="F9" t="n">
        <v>191</v>
      </c>
      <c r="G9" s="16" t="n">
        <v>232.8</v>
      </c>
      <c r="H9" s="16" t="n">
        <v>44464.8</v>
      </c>
      <c r="I9" s="16" t="n">
        <v>44464.8</v>
      </c>
      <c r="J9" t="n">
        <v>0</v>
      </c>
      <c r="K9" t="n">
        <v>0</v>
      </c>
      <c r="L9" s="12" t="n">
        <v>1</v>
      </c>
      <c r="M9" t="n">
        <v>179</v>
      </c>
      <c r="N9" t="inlineStr">
        <is>
          <t>Accurate</t>
        </is>
      </c>
      <c r="O9" t="inlineStr">
        <is>
          <t>No Variance</t>
        </is>
      </c>
      <c r="P9" t="inlineStr">
        <is>
          <t>Completed</t>
        </is>
      </c>
      <c r="Q9" s="17" t="n">
        <v>46182</v>
      </c>
    </row>
    <row r="10">
      <c r="A10" t="inlineStr">
        <is>
          <t>SKU-0009</t>
        </is>
      </c>
      <c r="B10" t="inlineStr">
        <is>
          <t>Gear</t>
        </is>
      </c>
      <c r="C10" t="inlineStr">
        <is>
          <t>Mechanical</t>
        </is>
      </c>
      <c r="D10" t="inlineStr">
        <is>
          <t>WH-C02</t>
        </is>
      </c>
      <c r="E10" t="n">
        <v>135</v>
      </c>
      <c r="F10" t="n">
        <v>135</v>
      </c>
      <c r="G10" s="16" t="n">
        <v>327.5</v>
      </c>
      <c r="H10" s="16" t="n">
        <v>44212.5</v>
      </c>
      <c r="I10" s="16" t="n">
        <v>44212.5</v>
      </c>
      <c r="J10" t="n">
        <v>0</v>
      </c>
      <c r="K10" t="n">
        <v>0</v>
      </c>
      <c r="L10" s="12" t="n">
        <v>1</v>
      </c>
      <c r="M10" t="n">
        <v>168</v>
      </c>
      <c r="N10" t="inlineStr">
        <is>
          <t>Accurate</t>
        </is>
      </c>
      <c r="O10" t="inlineStr">
        <is>
          <t>No Variance</t>
        </is>
      </c>
      <c r="P10" t="inlineStr">
        <is>
          <t>Completed</t>
        </is>
      </c>
      <c r="Q10" s="17" t="n">
        <v>46202</v>
      </c>
    </row>
    <row r="11">
      <c r="A11" t="inlineStr">
        <is>
          <t>SKU-0010</t>
        </is>
      </c>
      <c r="B11" t="inlineStr">
        <is>
          <t>Cleaning Kit</t>
        </is>
      </c>
      <c r="C11" t="inlineStr">
        <is>
          <t>Consumables</t>
        </is>
      </c>
      <c r="D11" t="inlineStr">
        <is>
          <t>WH-A02</t>
        </is>
      </c>
      <c r="E11" t="n">
        <v>430</v>
      </c>
      <c r="F11" t="n">
        <v>430</v>
      </c>
      <c r="G11" s="16" t="n">
        <v>273.61</v>
      </c>
      <c r="H11" s="16" t="n">
        <v>117652.3</v>
      </c>
      <c r="I11" s="16" t="n">
        <v>117652.3</v>
      </c>
      <c r="J11" t="n">
        <v>0</v>
      </c>
      <c r="K11" t="n">
        <v>0</v>
      </c>
      <c r="L11" s="12" t="n">
        <v>1</v>
      </c>
      <c r="M11" t="n">
        <v>73</v>
      </c>
      <c r="N11" t="inlineStr">
        <is>
          <t>Accurate</t>
        </is>
      </c>
      <c r="O11" t="inlineStr">
        <is>
          <t>No Variance</t>
        </is>
      </c>
      <c r="P11" t="inlineStr">
        <is>
          <t>Completed</t>
        </is>
      </c>
      <c r="Q11" s="17" t="n">
        <v>46081</v>
      </c>
    </row>
    <row r="12">
      <c r="A12" t="inlineStr">
        <is>
          <t>SKU-0011</t>
        </is>
      </c>
      <c r="B12" t="inlineStr">
        <is>
          <t>Ear Protection</t>
        </is>
      </c>
      <c r="C12" t="inlineStr">
        <is>
          <t>Safety</t>
        </is>
      </c>
      <c r="D12" t="inlineStr">
        <is>
          <t>WH-A02</t>
        </is>
      </c>
      <c r="E12" t="n">
        <v>345</v>
      </c>
      <c r="F12" t="n">
        <v>345</v>
      </c>
      <c r="G12" s="16" t="n">
        <v>752.9</v>
      </c>
      <c r="H12" s="16" t="n">
        <v>259750.5</v>
      </c>
      <c r="I12" s="16" t="n">
        <v>259750.5</v>
      </c>
      <c r="J12" t="n">
        <v>0</v>
      </c>
      <c r="K12" t="n">
        <v>0</v>
      </c>
      <c r="L12" s="12" t="n">
        <v>1</v>
      </c>
      <c r="M12" t="n">
        <v>169</v>
      </c>
      <c r="N12" t="inlineStr">
        <is>
          <t>Accurate</t>
        </is>
      </c>
      <c r="O12" t="inlineStr">
        <is>
          <t>No Variance</t>
        </is>
      </c>
      <c r="P12" t="inlineStr">
        <is>
          <t>Pending</t>
        </is>
      </c>
      <c r="Q12" s="17" t="n">
        <v>46063</v>
      </c>
    </row>
    <row r="13">
      <c r="A13" t="inlineStr">
        <is>
          <t>SKU-0012</t>
        </is>
      </c>
      <c r="B13" t="inlineStr">
        <is>
          <t>Adhesive</t>
        </is>
      </c>
      <c r="C13" t="inlineStr">
        <is>
          <t>Consumables</t>
        </is>
      </c>
      <c r="D13" t="inlineStr">
        <is>
          <t>WH-A02</t>
        </is>
      </c>
      <c r="E13" t="n">
        <v>391</v>
      </c>
      <c r="F13" t="n">
        <v>391</v>
      </c>
      <c r="G13" s="16" t="n">
        <v>229.23</v>
      </c>
      <c r="H13" s="16" t="n">
        <v>89628.92999999999</v>
      </c>
      <c r="I13" s="16" t="n">
        <v>89628.92999999999</v>
      </c>
      <c r="J13" t="n">
        <v>0</v>
      </c>
      <c r="K13" t="n">
        <v>0</v>
      </c>
      <c r="L13" s="12" t="n">
        <v>1</v>
      </c>
      <c r="M13" t="n">
        <v>154</v>
      </c>
      <c r="N13" t="inlineStr">
        <is>
          <t>Accurate</t>
        </is>
      </c>
      <c r="O13" t="inlineStr">
        <is>
          <t>No Variance</t>
        </is>
      </c>
      <c r="P13" t="inlineStr">
        <is>
          <t>Pending</t>
        </is>
      </c>
      <c r="Q13" s="17" t="n">
        <v>46256</v>
      </c>
    </row>
    <row r="14">
      <c r="A14" t="inlineStr">
        <is>
          <t>SKU-0013</t>
        </is>
      </c>
      <c r="B14" t="inlineStr">
        <is>
          <t>Safety Vest</t>
        </is>
      </c>
      <c r="C14" t="inlineStr">
        <is>
          <t>Safety</t>
        </is>
      </c>
      <c r="D14" t="inlineStr">
        <is>
          <t>WH-B01</t>
        </is>
      </c>
      <c r="E14" t="n">
        <v>122</v>
      </c>
      <c r="F14" t="n">
        <v>107</v>
      </c>
      <c r="G14" s="16" t="n">
        <v>437.02</v>
      </c>
      <c r="H14" s="16" t="n">
        <v>53316.44</v>
      </c>
      <c r="I14" s="16" t="n">
        <v>46761.14</v>
      </c>
      <c r="J14" t="n">
        <v>-15</v>
      </c>
      <c r="K14" t="n">
        <v>15</v>
      </c>
      <c r="L14" s="12" t="n">
        <v>0.877</v>
      </c>
      <c r="M14" t="n">
        <v>28</v>
      </c>
      <c r="N14" t="inlineStr">
        <is>
          <t>Shortage</t>
        </is>
      </c>
      <c r="O14" t="inlineStr">
        <is>
          <t>Counting Error</t>
        </is>
      </c>
      <c r="P14" t="inlineStr">
        <is>
          <t>Completed</t>
        </is>
      </c>
      <c r="Q14" s="17" t="n">
        <v>46066</v>
      </c>
    </row>
    <row r="15">
      <c r="A15" t="inlineStr">
        <is>
          <t>SKU-0014</t>
        </is>
      </c>
      <c r="B15" t="inlineStr">
        <is>
          <t>Seal</t>
        </is>
      </c>
      <c r="C15" t="inlineStr">
        <is>
          <t>Mechanical</t>
        </is>
      </c>
      <c r="D15" t="inlineStr">
        <is>
          <t>WH-C01</t>
        </is>
      </c>
      <c r="E15" t="n">
        <v>42</v>
      </c>
      <c r="F15" t="n">
        <v>42</v>
      </c>
      <c r="G15" s="16" t="n">
        <v>509.74</v>
      </c>
      <c r="H15" s="16" t="n">
        <v>21409.08</v>
      </c>
      <c r="I15" s="16" t="n">
        <v>21409.08</v>
      </c>
      <c r="J15" t="n">
        <v>0</v>
      </c>
      <c r="K15" t="n">
        <v>0</v>
      </c>
      <c r="L15" s="12" t="n">
        <v>1</v>
      </c>
      <c r="M15" t="n">
        <v>124</v>
      </c>
      <c r="N15" t="inlineStr">
        <is>
          <t>Accurate</t>
        </is>
      </c>
      <c r="O15" t="inlineStr">
        <is>
          <t>No Variance</t>
        </is>
      </c>
      <c r="P15" t="inlineStr">
        <is>
          <t>Completed</t>
        </is>
      </c>
      <c r="Q15" s="17" t="n">
        <v>46168</v>
      </c>
    </row>
    <row r="16">
      <c r="A16" t="inlineStr">
        <is>
          <t>SKU-0015</t>
        </is>
      </c>
      <c r="B16" t="inlineStr">
        <is>
          <t>Connector</t>
        </is>
      </c>
      <c r="C16" t="inlineStr">
        <is>
          <t>Electrical</t>
        </is>
      </c>
      <c r="D16" t="inlineStr">
        <is>
          <t>WH-C02</t>
        </is>
      </c>
      <c r="E16" t="n">
        <v>463</v>
      </c>
      <c r="F16" t="n">
        <v>463</v>
      </c>
      <c r="G16" s="16" t="n">
        <v>232.67</v>
      </c>
      <c r="H16" s="16" t="n">
        <v>107726.21</v>
      </c>
      <c r="I16" s="16" t="n">
        <v>107726.21</v>
      </c>
      <c r="J16" t="n">
        <v>0</v>
      </c>
      <c r="K16" t="n">
        <v>0</v>
      </c>
      <c r="L16" s="12" t="n">
        <v>1</v>
      </c>
      <c r="M16" t="n">
        <v>169</v>
      </c>
      <c r="N16" t="inlineStr">
        <is>
          <t>Accurate</t>
        </is>
      </c>
      <c r="O16" t="inlineStr">
        <is>
          <t>No Variance</t>
        </is>
      </c>
      <c r="P16" t="inlineStr">
        <is>
          <t>Completed</t>
        </is>
      </c>
      <c r="Q16" s="17" t="n">
        <v>46055</v>
      </c>
    </row>
    <row r="17">
      <c r="A17" t="inlineStr">
        <is>
          <t>SKU-0016</t>
        </is>
      </c>
      <c r="B17" t="inlineStr">
        <is>
          <t>Label Roll</t>
        </is>
      </c>
      <c r="C17" t="inlineStr">
        <is>
          <t>Consumables</t>
        </is>
      </c>
      <c r="D17" t="inlineStr">
        <is>
          <t>WH-A02</t>
        </is>
      </c>
      <c r="E17" t="n">
        <v>242</v>
      </c>
      <c r="F17" t="n">
        <v>242</v>
      </c>
      <c r="G17" s="16" t="n">
        <v>616</v>
      </c>
      <c r="H17" s="16" t="n">
        <v>149072</v>
      </c>
      <c r="I17" s="16" t="n">
        <v>149072</v>
      </c>
      <c r="J17" t="n">
        <v>0</v>
      </c>
      <c r="K17" t="n">
        <v>0</v>
      </c>
      <c r="L17" s="12" t="n">
        <v>1</v>
      </c>
      <c r="M17" t="n">
        <v>72</v>
      </c>
      <c r="N17" t="inlineStr">
        <is>
          <t>Accurate</t>
        </is>
      </c>
      <c r="O17" t="inlineStr">
        <is>
          <t>No Variance</t>
        </is>
      </c>
      <c r="P17" t="inlineStr">
        <is>
          <t>Completed</t>
        </is>
      </c>
      <c r="Q17" s="17" t="n">
        <v>46156</v>
      </c>
    </row>
    <row r="18">
      <c r="A18" t="inlineStr">
        <is>
          <t>SKU-0017</t>
        </is>
      </c>
      <c r="B18" t="inlineStr">
        <is>
          <t>Relay</t>
        </is>
      </c>
      <c r="C18" t="inlineStr">
        <is>
          <t>Electrical</t>
        </is>
      </c>
      <c r="D18" t="inlineStr">
        <is>
          <t>WH-C02</t>
        </is>
      </c>
      <c r="E18" t="n">
        <v>269</v>
      </c>
      <c r="F18" t="n">
        <v>269</v>
      </c>
      <c r="G18" s="16" t="n">
        <v>136.69</v>
      </c>
      <c r="H18" s="16" t="n">
        <v>36769.61</v>
      </c>
      <c r="I18" s="16" t="n">
        <v>36769.61</v>
      </c>
      <c r="J18" t="n">
        <v>0</v>
      </c>
      <c r="K18" t="n">
        <v>0</v>
      </c>
      <c r="L18" s="12" t="n">
        <v>1</v>
      </c>
      <c r="M18" t="n">
        <v>46</v>
      </c>
      <c r="N18" t="inlineStr">
        <is>
          <t>Accurate</t>
        </is>
      </c>
      <c r="O18" t="inlineStr">
        <is>
          <t>No Variance</t>
        </is>
      </c>
      <c r="P18" t="inlineStr">
        <is>
          <t>Completed</t>
        </is>
      </c>
      <c r="Q18" s="17" t="n">
        <v>46180</v>
      </c>
    </row>
    <row r="19">
      <c r="A19" t="inlineStr">
        <is>
          <t>SKU-0018</t>
        </is>
      </c>
      <c r="B19" t="inlineStr">
        <is>
          <t>Label Roll</t>
        </is>
      </c>
      <c r="C19" t="inlineStr">
        <is>
          <t>Consumables</t>
        </is>
      </c>
      <c r="D19" t="inlineStr">
        <is>
          <t>WH-A01</t>
        </is>
      </c>
      <c r="E19" t="n">
        <v>67</v>
      </c>
      <c r="F19" t="n">
        <v>72</v>
      </c>
      <c r="G19" s="16" t="n">
        <v>209.62</v>
      </c>
      <c r="H19" s="16" t="n">
        <v>14044.54</v>
      </c>
      <c r="I19" s="16" t="n">
        <v>15092.64</v>
      </c>
      <c r="J19" t="n">
        <v>5</v>
      </c>
      <c r="K19" t="n">
        <v>5</v>
      </c>
      <c r="L19" s="12" t="n">
        <v>0.9254</v>
      </c>
      <c r="M19" t="n">
        <v>66</v>
      </c>
      <c r="N19" t="inlineStr">
        <is>
          <t>Excess</t>
        </is>
      </c>
      <c r="O19" t="inlineStr">
        <is>
          <t>Unidentified Movement</t>
        </is>
      </c>
      <c r="P19" t="inlineStr">
        <is>
          <t>Completed</t>
        </is>
      </c>
      <c r="Q19" s="17" t="n">
        <v>46048</v>
      </c>
    </row>
    <row r="20">
      <c r="A20" t="inlineStr">
        <is>
          <t>SKU-0019</t>
        </is>
      </c>
      <c r="B20" t="inlineStr">
        <is>
          <t>Torque Wrench</t>
        </is>
      </c>
      <c r="C20" t="inlineStr">
        <is>
          <t>Tools</t>
        </is>
      </c>
      <c r="D20" t="inlineStr">
        <is>
          <t>WH-C01</t>
        </is>
      </c>
      <c r="E20" t="n">
        <v>402</v>
      </c>
      <c r="F20" t="n">
        <v>402</v>
      </c>
      <c r="G20" s="16" t="n">
        <v>563.51</v>
      </c>
      <c r="H20" s="16" t="n">
        <v>226531.02</v>
      </c>
      <c r="I20" s="16" t="n">
        <v>226531.02</v>
      </c>
      <c r="J20" t="n">
        <v>0</v>
      </c>
      <c r="K20" t="n">
        <v>0</v>
      </c>
      <c r="L20" s="12" t="n">
        <v>1</v>
      </c>
      <c r="M20" t="n">
        <v>145</v>
      </c>
      <c r="N20" t="inlineStr">
        <is>
          <t>Accurate</t>
        </is>
      </c>
      <c r="O20" t="inlineStr">
        <is>
          <t>No Variance</t>
        </is>
      </c>
      <c r="P20" t="inlineStr">
        <is>
          <t>Completed</t>
        </is>
      </c>
      <c r="Q20" s="17" t="n">
        <v>46094</v>
      </c>
    </row>
    <row r="21">
      <c r="A21" t="inlineStr">
        <is>
          <t>SKU-0020</t>
        </is>
      </c>
      <c r="B21" t="inlineStr">
        <is>
          <t>Mask</t>
        </is>
      </c>
      <c r="C21" t="inlineStr">
        <is>
          <t>Safety</t>
        </is>
      </c>
      <c r="D21" t="inlineStr">
        <is>
          <t>WH-B02</t>
        </is>
      </c>
      <c r="E21" t="n">
        <v>118</v>
      </c>
      <c r="F21" t="n">
        <v>113</v>
      </c>
      <c r="G21" s="16" t="n">
        <v>608.3</v>
      </c>
      <c r="H21" s="16" t="n">
        <v>71779.39999999999</v>
      </c>
      <c r="I21" s="16" t="n">
        <v>68737.89999999999</v>
      </c>
      <c r="J21" t="n">
        <v>-5</v>
      </c>
      <c r="K21" t="n">
        <v>5</v>
      </c>
      <c r="L21" s="12" t="n">
        <v>0.9576</v>
      </c>
      <c r="M21" t="n">
        <v>107</v>
      </c>
      <c r="N21" t="inlineStr">
        <is>
          <t>Shortage</t>
        </is>
      </c>
      <c r="O21" t="inlineStr">
        <is>
          <t>Transaction Delay</t>
        </is>
      </c>
      <c r="P21" t="inlineStr">
        <is>
          <t>Pending</t>
        </is>
      </c>
      <c r="Q21" s="17" t="n">
        <v>46257</v>
      </c>
    </row>
    <row r="22">
      <c r="A22" t="inlineStr">
        <is>
          <t>SKU-0021</t>
        </is>
      </c>
      <c r="B22" t="inlineStr">
        <is>
          <t>Safety Vest</t>
        </is>
      </c>
      <c r="C22" t="inlineStr">
        <is>
          <t>Safety</t>
        </is>
      </c>
      <c r="D22" t="inlineStr">
        <is>
          <t>WH-A01</t>
        </is>
      </c>
      <c r="E22" t="n">
        <v>136</v>
      </c>
      <c r="F22" t="n">
        <v>136</v>
      </c>
      <c r="G22" s="16" t="n">
        <v>292.67</v>
      </c>
      <c r="H22" s="16" t="n">
        <v>39803.12</v>
      </c>
      <c r="I22" s="16" t="n">
        <v>39803.12</v>
      </c>
      <c r="J22" t="n">
        <v>0</v>
      </c>
      <c r="K22" t="n">
        <v>0</v>
      </c>
      <c r="L22" s="12" t="n">
        <v>1</v>
      </c>
      <c r="M22" t="n">
        <v>155</v>
      </c>
      <c r="N22" t="inlineStr">
        <is>
          <t>Accurate</t>
        </is>
      </c>
      <c r="O22" t="inlineStr">
        <is>
          <t>No Variance</t>
        </is>
      </c>
      <c r="P22" t="inlineStr">
        <is>
          <t>Completed</t>
        </is>
      </c>
      <c r="Q22" s="17" t="n">
        <v>46177</v>
      </c>
    </row>
    <row r="23">
      <c r="A23" t="inlineStr">
        <is>
          <t>SKU-0022</t>
        </is>
      </c>
      <c r="B23" t="inlineStr">
        <is>
          <t>Bearing</t>
        </is>
      </c>
      <c r="C23" t="inlineStr">
        <is>
          <t>Mechanical</t>
        </is>
      </c>
      <c r="D23" t="inlineStr">
        <is>
          <t>WH-A01</t>
        </is>
      </c>
      <c r="E23" t="n">
        <v>372</v>
      </c>
      <c r="F23" t="n">
        <v>372</v>
      </c>
      <c r="G23" s="16" t="n">
        <v>200.77</v>
      </c>
      <c r="H23" s="16" t="n">
        <v>74686.44</v>
      </c>
      <c r="I23" s="16" t="n">
        <v>74686.44</v>
      </c>
      <c r="J23" t="n">
        <v>0</v>
      </c>
      <c r="K23" t="n">
        <v>0</v>
      </c>
      <c r="L23" s="12" t="n">
        <v>1</v>
      </c>
      <c r="M23" t="n">
        <v>13</v>
      </c>
      <c r="N23" t="inlineStr">
        <is>
          <t>Accurate</t>
        </is>
      </c>
      <c r="O23" t="inlineStr">
        <is>
          <t>No Variance</t>
        </is>
      </c>
      <c r="P23" t="inlineStr">
        <is>
          <t>Completed</t>
        </is>
      </c>
      <c r="Q23" s="17" t="n">
        <v>46045</v>
      </c>
    </row>
    <row r="24">
      <c r="A24" t="inlineStr">
        <is>
          <t>SKU-0023</t>
        </is>
      </c>
      <c r="B24" t="inlineStr">
        <is>
          <t>Safety Glasses</t>
        </is>
      </c>
      <c r="C24" t="inlineStr">
        <is>
          <t>Safety</t>
        </is>
      </c>
      <c r="D24" t="inlineStr">
        <is>
          <t>WH-B01</t>
        </is>
      </c>
      <c r="E24" t="n">
        <v>352</v>
      </c>
      <c r="F24" t="n">
        <v>352</v>
      </c>
      <c r="G24" s="16" t="n">
        <v>462.03</v>
      </c>
      <c r="H24" s="16" t="n">
        <v>162634.56</v>
      </c>
      <c r="I24" s="16" t="n">
        <v>162634.56</v>
      </c>
      <c r="J24" t="n">
        <v>0</v>
      </c>
      <c r="K24" t="n">
        <v>0</v>
      </c>
      <c r="L24" s="12" t="n">
        <v>1</v>
      </c>
      <c r="M24" t="n">
        <v>151</v>
      </c>
      <c r="N24" t="inlineStr">
        <is>
          <t>Accurate</t>
        </is>
      </c>
      <c r="O24" t="inlineStr">
        <is>
          <t>No Variance</t>
        </is>
      </c>
      <c r="P24" t="inlineStr">
        <is>
          <t>Pending</t>
        </is>
      </c>
      <c r="Q24" s="17" t="n">
        <v>46089</v>
      </c>
    </row>
    <row r="25">
      <c r="A25" t="inlineStr">
        <is>
          <t>SKU-0024</t>
        </is>
      </c>
      <c r="B25" t="inlineStr">
        <is>
          <t>Gauge</t>
        </is>
      </c>
      <c r="C25" t="inlineStr">
        <is>
          <t>Tools</t>
        </is>
      </c>
      <c r="D25" t="inlineStr">
        <is>
          <t>WH-A02</t>
        </is>
      </c>
      <c r="E25" t="n">
        <v>58</v>
      </c>
      <c r="F25" t="n">
        <v>58</v>
      </c>
      <c r="G25" s="16" t="n">
        <v>370.95</v>
      </c>
      <c r="H25" s="16" t="n">
        <v>21515.1</v>
      </c>
      <c r="I25" s="16" t="n">
        <v>21515.1</v>
      </c>
      <c r="J25" t="n">
        <v>0</v>
      </c>
      <c r="K25" t="n">
        <v>0</v>
      </c>
      <c r="L25" s="12" t="n">
        <v>1</v>
      </c>
      <c r="M25" t="n">
        <v>113</v>
      </c>
      <c r="N25" t="inlineStr">
        <is>
          <t>Accurate</t>
        </is>
      </c>
      <c r="O25" t="inlineStr">
        <is>
          <t>No Variance</t>
        </is>
      </c>
      <c r="P25" t="inlineStr">
        <is>
          <t>Pending</t>
        </is>
      </c>
      <c r="Q25" s="17" t="n">
        <v>46146</v>
      </c>
    </row>
    <row r="26">
      <c r="A26" t="inlineStr">
        <is>
          <t>SKU-0025</t>
        </is>
      </c>
      <c r="B26" t="inlineStr">
        <is>
          <t>Connector</t>
        </is>
      </c>
      <c r="C26" t="inlineStr">
        <is>
          <t>Electrical</t>
        </is>
      </c>
      <c r="D26" t="inlineStr">
        <is>
          <t>WH-A01</t>
        </is>
      </c>
      <c r="E26" t="n">
        <v>216</v>
      </c>
      <c r="F26" t="n">
        <v>214</v>
      </c>
      <c r="G26" s="16" t="n">
        <v>217.37</v>
      </c>
      <c r="H26" s="16" t="n">
        <v>46951.92</v>
      </c>
      <c r="I26" s="16" t="n">
        <v>46517.18</v>
      </c>
      <c r="J26" t="n">
        <v>-2</v>
      </c>
      <c r="K26" t="n">
        <v>2</v>
      </c>
      <c r="L26" s="12" t="n">
        <v>0.9907</v>
      </c>
      <c r="M26" t="n">
        <v>53</v>
      </c>
      <c r="N26" t="inlineStr">
        <is>
          <t>Shortage</t>
        </is>
      </c>
      <c r="O26" t="inlineStr">
        <is>
          <t>Unidentified Movement</t>
        </is>
      </c>
      <c r="P26" t="inlineStr">
        <is>
          <t>Pending</t>
        </is>
      </c>
      <c r="Q26" s="17" t="n">
        <v>46062</v>
      </c>
    </row>
    <row r="27">
      <c r="A27" t="inlineStr">
        <is>
          <t>SKU-0026</t>
        </is>
      </c>
      <c r="B27" t="inlineStr">
        <is>
          <t>Caliper</t>
        </is>
      </c>
      <c r="C27" t="inlineStr">
        <is>
          <t>Tools</t>
        </is>
      </c>
      <c r="D27" t="inlineStr">
        <is>
          <t>WH-B01</t>
        </is>
      </c>
      <c r="E27" t="n">
        <v>246</v>
      </c>
      <c r="F27" t="n">
        <v>246</v>
      </c>
      <c r="G27" s="16" t="n">
        <v>785.39</v>
      </c>
      <c r="H27" s="16" t="n">
        <v>193205.94</v>
      </c>
      <c r="I27" s="16" t="n">
        <v>193205.94</v>
      </c>
      <c r="J27" t="n">
        <v>0</v>
      </c>
      <c r="K27" t="n">
        <v>0</v>
      </c>
      <c r="L27" s="12" t="n">
        <v>1</v>
      </c>
      <c r="M27" t="n">
        <v>118</v>
      </c>
      <c r="N27" t="inlineStr">
        <is>
          <t>Accurate</t>
        </is>
      </c>
      <c r="O27" t="inlineStr">
        <is>
          <t>No Variance</t>
        </is>
      </c>
      <c r="P27" t="inlineStr">
        <is>
          <t>Completed</t>
        </is>
      </c>
      <c r="Q27" s="17" t="n">
        <v>46039</v>
      </c>
    </row>
    <row r="28">
      <c r="A28" t="inlineStr">
        <is>
          <t>SKU-0027</t>
        </is>
      </c>
      <c r="B28" t="inlineStr">
        <is>
          <t>Gloves</t>
        </is>
      </c>
      <c r="C28" t="inlineStr">
        <is>
          <t>Safety</t>
        </is>
      </c>
      <c r="D28" t="inlineStr">
        <is>
          <t>WH-A01</t>
        </is>
      </c>
      <c r="E28" t="n">
        <v>484</v>
      </c>
      <c r="F28" t="n">
        <v>483</v>
      </c>
      <c r="G28" s="16" t="n">
        <v>148.03</v>
      </c>
      <c r="H28" s="16" t="n">
        <v>71646.52</v>
      </c>
      <c r="I28" s="16" t="n">
        <v>71498.49000000001</v>
      </c>
      <c r="J28" t="n">
        <v>-1</v>
      </c>
      <c r="K28" t="n">
        <v>1</v>
      </c>
      <c r="L28" s="12" t="n">
        <v>0.9979</v>
      </c>
      <c r="M28" t="n">
        <v>129</v>
      </c>
      <c r="N28" t="inlineStr">
        <is>
          <t>Shortage</t>
        </is>
      </c>
      <c r="O28" t="inlineStr">
        <is>
          <t>Damaged Stock</t>
        </is>
      </c>
      <c r="P28" t="inlineStr">
        <is>
          <t>Completed</t>
        </is>
      </c>
      <c r="Q28" s="17" t="n">
        <v>46248</v>
      </c>
    </row>
    <row r="29">
      <c r="A29" t="inlineStr">
        <is>
          <t>SKU-0028</t>
        </is>
      </c>
      <c r="B29" t="inlineStr">
        <is>
          <t>Torque Wrench</t>
        </is>
      </c>
      <c r="C29" t="inlineStr">
        <is>
          <t>Tools</t>
        </is>
      </c>
      <c r="D29" t="inlineStr">
        <is>
          <t>WH-A02</t>
        </is>
      </c>
      <c r="E29" t="n">
        <v>204</v>
      </c>
      <c r="F29" t="n">
        <v>204</v>
      </c>
      <c r="G29" s="16" t="n">
        <v>336.74</v>
      </c>
      <c r="H29" s="16" t="n">
        <v>68694.96000000001</v>
      </c>
      <c r="I29" s="16" t="n">
        <v>68694.96000000001</v>
      </c>
      <c r="J29" t="n">
        <v>0</v>
      </c>
      <c r="K29" t="n">
        <v>0</v>
      </c>
      <c r="L29" s="12" t="n">
        <v>1</v>
      </c>
      <c r="M29" t="n">
        <v>121</v>
      </c>
      <c r="N29" t="inlineStr">
        <is>
          <t>Accurate</t>
        </is>
      </c>
      <c r="O29" t="inlineStr">
        <is>
          <t>No Variance</t>
        </is>
      </c>
      <c r="P29" t="inlineStr">
        <is>
          <t>Completed</t>
        </is>
      </c>
      <c r="Q29" s="17" t="n">
        <v>46135</v>
      </c>
    </row>
    <row r="30">
      <c r="A30" t="inlineStr">
        <is>
          <t>SKU-0029</t>
        </is>
      </c>
      <c r="B30" t="inlineStr">
        <is>
          <t>Safety Vest</t>
        </is>
      </c>
      <c r="C30" t="inlineStr">
        <is>
          <t>Safety</t>
        </is>
      </c>
      <c r="D30" t="inlineStr">
        <is>
          <t>WH-A02</t>
        </is>
      </c>
      <c r="E30" t="n">
        <v>107</v>
      </c>
      <c r="F30" t="n">
        <v>107</v>
      </c>
      <c r="G30" s="16" t="n">
        <v>823.65</v>
      </c>
      <c r="H30" s="16" t="n">
        <v>88130.55</v>
      </c>
      <c r="I30" s="16" t="n">
        <v>88130.55</v>
      </c>
      <c r="J30" t="n">
        <v>0</v>
      </c>
      <c r="K30" t="n">
        <v>0</v>
      </c>
      <c r="L30" s="12" t="n">
        <v>1</v>
      </c>
      <c r="M30" t="n">
        <v>153</v>
      </c>
      <c r="N30" t="inlineStr">
        <is>
          <t>Accurate</t>
        </is>
      </c>
      <c r="O30" t="inlineStr">
        <is>
          <t>No Variance</t>
        </is>
      </c>
      <c r="P30" t="inlineStr">
        <is>
          <t>Completed</t>
        </is>
      </c>
      <c r="Q30" s="17" t="n">
        <v>46218</v>
      </c>
    </row>
    <row r="31">
      <c r="A31" t="inlineStr">
        <is>
          <t>SKU-0030</t>
        </is>
      </c>
      <c r="B31" t="inlineStr">
        <is>
          <t>Cleaning Kit</t>
        </is>
      </c>
      <c r="C31" t="inlineStr">
        <is>
          <t>Consumables</t>
        </is>
      </c>
      <c r="D31" t="inlineStr">
        <is>
          <t>WH-A01</t>
        </is>
      </c>
      <c r="E31" t="n">
        <v>309</v>
      </c>
      <c r="F31" t="n">
        <v>309</v>
      </c>
      <c r="G31" s="16" t="n">
        <v>782.12</v>
      </c>
      <c r="H31" s="16" t="n">
        <v>241675.08</v>
      </c>
      <c r="I31" s="16" t="n">
        <v>241675.08</v>
      </c>
      <c r="J31" t="n">
        <v>0</v>
      </c>
      <c r="K31" t="n">
        <v>0</v>
      </c>
      <c r="L31" s="12" t="n">
        <v>1</v>
      </c>
      <c r="M31" t="n">
        <v>140</v>
      </c>
      <c r="N31" t="inlineStr">
        <is>
          <t>Accurate</t>
        </is>
      </c>
      <c r="O31" t="inlineStr">
        <is>
          <t>No Variance</t>
        </is>
      </c>
      <c r="P31" t="inlineStr">
        <is>
          <t>Completed</t>
        </is>
      </c>
      <c r="Q31" s="17" t="n">
        <v>46041</v>
      </c>
    </row>
    <row r="32">
      <c r="A32" t="inlineStr">
        <is>
          <t>SKU-0031</t>
        </is>
      </c>
      <c r="B32" t="inlineStr">
        <is>
          <t>Gloves</t>
        </is>
      </c>
      <c r="C32" t="inlineStr">
        <is>
          <t>Safety</t>
        </is>
      </c>
      <c r="D32" t="inlineStr">
        <is>
          <t>WH-A02</t>
        </is>
      </c>
      <c r="E32" t="n">
        <v>45</v>
      </c>
      <c r="F32" t="n">
        <v>45</v>
      </c>
      <c r="G32" s="16" t="n">
        <v>576.53</v>
      </c>
      <c r="H32" s="16" t="n">
        <v>25943.85</v>
      </c>
      <c r="I32" s="16" t="n">
        <v>25943.85</v>
      </c>
      <c r="J32" t="n">
        <v>0</v>
      </c>
      <c r="K32" t="n">
        <v>0</v>
      </c>
      <c r="L32" s="12" t="n">
        <v>1</v>
      </c>
      <c r="M32" t="n">
        <v>65</v>
      </c>
      <c r="N32" t="inlineStr">
        <is>
          <t>Accurate</t>
        </is>
      </c>
      <c r="O32" t="inlineStr">
        <is>
          <t>No Variance</t>
        </is>
      </c>
      <c r="P32" t="inlineStr">
        <is>
          <t>Pending</t>
        </is>
      </c>
      <c r="Q32" s="17" t="n">
        <v>46057</v>
      </c>
    </row>
    <row r="33">
      <c r="A33" t="inlineStr">
        <is>
          <t>SKU-0032</t>
        </is>
      </c>
      <c r="B33" t="inlineStr">
        <is>
          <t>Safety Glasses</t>
        </is>
      </c>
      <c r="C33" t="inlineStr">
        <is>
          <t>Safety</t>
        </is>
      </c>
      <c r="D33" t="inlineStr">
        <is>
          <t>WH-C01</t>
        </is>
      </c>
      <c r="E33" t="n">
        <v>314</v>
      </c>
      <c r="F33" t="n">
        <v>314</v>
      </c>
      <c r="G33" s="16" t="n">
        <v>77.03</v>
      </c>
      <c r="H33" s="16" t="n">
        <v>24187.42</v>
      </c>
      <c r="I33" s="16" t="n">
        <v>24187.42</v>
      </c>
      <c r="J33" t="n">
        <v>0</v>
      </c>
      <c r="K33" t="n">
        <v>0</v>
      </c>
      <c r="L33" s="12" t="n">
        <v>1</v>
      </c>
      <c r="M33" t="n">
        <v>173</v>
      </c>
      <c r="N33" t="inlineStr">
        <is>
          <t>Accurate</t>
        </is>
      </c>
      <c r="O33" t="inlineStr">
        <is>
          <t>No Variance</t>
        </is>
      </c>
      <c r="P33" t="inlineStr">
        <is>
          <t>Completed</t>
        </is>
      </c>
      <c r="Q33" s="17" t="n">
        <v>46093</v>
      </c>
    </row>
    <row r="34">
      <c r="A34" t="inlineStr">
        <is>
          <t>SKU-0033</t>
        </is>
      </c>
      <c r="B34" t="inlineStr">
        <is>
          <t>Fastener Kit</t>
        </is>
      </c>
      <c r="C34" t="inlineStr">
        <is>
          <t>Mechanical</t>
        </is>
      </c>
      <c r="D34" t="inlineStr">
        <is>
          <t>WH-A02</t>
        </is>
      </c>
      <c r="E34" t="n">
        <v>145</v>
      </c>
      <c r="F34" t="n">
        <v>145</v>
      </c>
      <c r="G34" s="16" t="n">
        <v>573.5599999999999</v>
      </c>
      <c r="H34" s="16" t="n">
        <v>83166.2</v>
      </c>
      <c r="I34" s="16" t="n">
        <v>83166.2</v>
      </c>
      <c r="J34" t="n">
        <v>0</v>
      </c>
      <c r="K34" t="n">
        <v>0</v>
      </c>
      <c r="L34" s="12" t="n">
        <v>1</v>
      </c>
      <c r="M34" t="n">
        <v>81</v>
      </c>
      <c r="N34" t="inlineStr">
        <is>
          <t>Accurate</t>
        </is>
      </c>
      <c r="O34" t="inlineStr">
        <is>
          <t>No Variance</t>
        </is>
      </c>
      <c r="P34" t="inlineStr">
        <is>
          <t>Pending</t>
        </is>
      </c>
      <c r="Q34" s="17" t="n">
        <v>46107</v>
      </c>
    </row>
    <row r="35">
      <c r="A35" t="inlineStr">
        <is>
          <t>SKU-0034</t>
        </is>
      </c>
      <c r="B35" t="inlineStr">
        <is>
          <t>Connector</t>
        </is>
      </c>
      <c r="C35" t="inlineStr">
        <is>
          <t>Electrical</t>
        </is>
      </c>
      <c r="D35" t="inlineStr">
        <is>
          <t>WH-B02</t>
        </is>
      </c>
      <c r="E35" t="n">
        <v>328</v>
      </c>
      <c r="F35" t="n">
        <v>303</v>
      </c>
      <c r="G35" s="16" t="n">
        <v>69.69</v>
      </c>
      <c r="H35" s="16" t="n">
        <v>22858.32</v>
      </c>
      <c r="I35" s="16" t="n">
        <v>21116.07</v>
      </c>
      <c r="J35" t="n">
        <v>-25</v>
      </c>
      <c r="K35" t="n">
        <v>25</v>
      </c>
      <c r="L35" s="12" t="n">
        <v>0.9238</v>
      </c>
      <c r="M35" t="n">
        <v>59</v>
      </c>
      <c r="N35" t="inlineStr">
        <is>
          <t>Shortage</t>
        </is>
      </c>
      <c r="O35" t="inlineStr">
        <is>
          <t>Unidentified Movement</t>
        </is>
      </c>
      <c r="P35" t="inlineStr">
        <is>
          <t>Completed</t>
        </is>
      </c>
      <c r="Q35" s="17" t="n">
        <v>46060</v>
      </c>
    </row>
    <row r="36">
      <c r="A36" t="inlineStr">
        <is>
          <t>SKU-0035</t>
        </is>
      </c>
      <c r="B36" t="inlineStr">
        <is>
          <t>Cleaning Kit</t>
        </is>
      </c>
      <c r="C36" t="inlineStr">
        <is>
          <t>Consumables</t>
        </is>
      </c>
      <c r="D36" t="inlineStr">
        <is>
          <t>WH-A02</t>
        </is>
      </c>
      <c r="E36" t="n">
        <v>199</v>
      </c>
      <c r="F36" t="n">
        <v>199</v>
      </c>
      <c r="G36" s="16" t="n">
        <v>376.95</v>
      </c>
      <c r="H36" s="16" t="n">
        <v>75013.05</v>
      </c>
      <c r="I36" s="16" t="n">
        <v>75013.05</v>
      </c>
      <c r="J36" t="n">
        <v>0</v>
      </c>
      <c r="K36" t="n">
        <v>0</v>
      </c>
      <c r="L36" s="12" t="n">
        <v>1</v>
      </c>
      <c r="M36" t="n">
        <v>144</v>
      </c>
      <c r="N36" t="inlineStr">
        <is>
          <t>Accurate</t>
        </is>
      </c>
      <c r="O36" t="inlineStr">
        <is>
          <t>No Variance</t>
        </is>
      </c>
      <c r="P36" t="inlineStr">
        <is>
          <t>Completed</t>
        </is>
      </c>
      <c r="Q36" s="17" t="n">
        <v>46183</v>
      </c>
    </row>
    <row r="37">
      <c r="A37" t="inlineStr">
        <is>
          <t>SKU-0036</t>
        </is>
      </c>
      <c r="B37" t="inlineStr">
        <is>
          <t>Gloves</t>
        </is>
      </c>
      <c r="C37" t="inlineStr">
        <is>
          <t>Safety</t>
        </is>
      </c>
      <c r="D37" t="inlineStr">
        <is>
          <t>WH-C02</t>
        </is>
      </c>
      <c r="E37" t="n">
        <v>428</v>
      </c>
      <c r="F37" t="n">
        <v>428</v>
      </c>
      <c r="G37" s="16" t="n">
        <v>792.54</v>
      </c>
      <c r="H37" s="16" t="n">
        <v>339207.12</v>
      </c>
      <c r="I37" s="16" t="n">
        <v>339207.12</v>
      </c>
      <c r="J37" t="n">
        <v>0</v>
      </c>
      <c r="K37" t="n">
        <v>0</v>
      </c>
      <c r="L37" s="12" t="n">
        <v>1</v>
      </c>
      <c r="M37" t="n">
        <v>31</v>
      </c>
      <c r="N37" t="inlineStr">
        <is>
          <t>Accurate</t>
        </is>
      </c>
      <c r="O37" t="inlineStr">
        <is>
          <t>No Variance</t>
        </is>
      </c>
      <c r="P37" t="inlineStr">
        <is>
          <t>Completed</t>
        </is>
      </c>
      <c r="Q37" s="17" t="n">
        <v>46094</v>
      </c>
    </row>
    <row r="38">
      <c r="A38" t="inlineStr">
        <is>
          <t>SKU-0037</t>
        </is>
      </c>
      <c r="B38" t="inlineStr">
        <is>
          <t>Connector</t>
        </is>
      </c>
      <c r="C38" t="inlineStr">
        <is>
          <t>Electrical</t>
        </is>
      </c>
      <c r="D38" t="inlineStr">
        <is>
          <t>WH-C02</t>
        </is>
      </c>
      <c r="E38" t="n">
        <v>293</v>
      </c>
      <c r="F38" t="n">
        <v>293</v>
      </c>
      <c r="G38" s="16" t="n">
        <v>245.24</v>
      </c>
      <c r="H38" s="16" t="n">
        <v>71855.32000000001</v>
      </c>
      <c r="I38" s="16" t="n">
        <v>71855.32000000001</v>
      </c>
      <c r="J38" t="n">
        <v>0</v>
      </c>
      <c r="K38" t="n">
        <v>0</v>
      </c>
      <c r="L38" s="12" t="n">
        <v>1</v>
      </c>
      <c r="M38" t="n">
        <v>58</v>
      </c>
      <c r="N38" t="inlineStr">
        <is>
          <t>Accurate</t>
        </is>
      </c>
      <c r="O38" t="inlineStr">
        <is>
          <t>No Variance</t>
        </is>
      </c>
      <c r="P38" t="inlineStr">
        <is>
          <t>Completed</t>
        </is>
      </c>
      <c r="Q38" s="17" t="n">
        <v>46079</v>
      </c>
    </row>
    <row r="39">
      <c r="A39" t="inlineStr">
        <is>
          <t>SKU-0038</t>
        </is>
      </c>
      <c r="B39" t="inlineStr">
        <is>
          <t>Packaging Kit</t>
        </is>
      </c>
      <c r="C39" t="inlineStr">
        <is>
          <t>Consumables</t>
        </is>
      </c>
      <c r="D39" t="inlineStr">
        <is>
          <t>WH-B02</t>
        </is>
      </c>
      <c r="E39" t="n">
        <v>138</v>
      </c>
      <c r="F39" t="n">
        <v>130</v>
      </c>
      <c r="G39" s="16" t="n">
        <v>85.72</v>
      </c>
      <c r="H39" s="16" t="n">
        <v>11829.36</v>
      </c>
      <c r="I39" s="16" t="n">
        <v>11143.6</v>
      </c>
      <c r="J39" t="n">
        <v>-8</v>
      </c>
      <c r="K39" t="n">
        <v>8</v>
      </c>
      <c r="L39" s="12" t="n">
        <v>0.9419999999999999</v>
      </c>
      <c r="M39" t="n">
        <v>113</v>
      </c>
      <c r="N39" t="inlineStr">
        <is>
          <t>Shortage</t>
        </is>
      </c>
      <c r="O39" t="inlineStr">
        <is>
          <t>Transaction Delay</t>
        </is>
      </c>
      <c r="P39" t="inlineStr">
        <is>
          <t>Completed</t>
        </is>
      </c>
      <c r="Q39" s="17" t="n">
        <v>46027</v>
      </c>
    </row>
    <row r="40">
      <c r="A40" t="inlineStr">
        <is>
          <t>SKU-0039</t>
        </is>
      </c>
      <c r="B40" t="inlineStr">
        <is>
          <t>Adhesive</t>
        </is>
      </c>
      <c r="C40" t="inlineStr">
        <is>
          <t>Consumables</t>
        </is>
      </c>
      <c r="D40" t="inlineStr">
        <is>
          <t>WH-C02</t>
        </is>
      </c>
      <c r="E40" t="n">
        <v>144</v>
      </c>
      <c r="F40" t="n">
        <v>144</v>
      </c>
      <c r="G40" s="16" t="n">
        <v>380.03</v>
      </c>
      <c r="H40" s="16" t="n">
        <v>54724.32</v>
      </c>
      <c r="I40" s="16" t="n">
        <v>54724.32</v>
      </c>
      <c r="J40" t="n">
        <v>0</v>
      </c>
      <c r="K40" t="n">
        <v>0</v>
      </c>
      <c r="L40" s="12" t="n">
        <v>1</v>
      </c>
      <c r="M40" t="n">
        <v>114</v>
      </c>
      <c r="N40" t="inlineStr">
        <is>
          <t>Accurate</t>
        </is>
      </c>
      <c r="O40" t="inlineStr">
        <is>
          <t>No Variance</t>
        </is>
      </c>
      <c r="P40" t="inlineStr">
        <is>
          <t>Completed</t>
        </is>
      </c>
      <c r="Q40" s="17" t="n">
        <v>46055</v>
      </c>
    </row>
    <row r="41">
      <c r="A41" t="inlineStr">
        <is>
          <t>SKU-0040</t>
        </is>
      </c>
      <c r="B41" t="inlineStr">
        <is>
          <t>Cable Assembly</t>
        </is>
      </c>
      <c r="C41" t="inlineStr">
        <is>
          <t>Electrical</t>
        </is>
      </c>
      <c r="D41" t="inlineStr">
        <is>
          <t>WH-C01</t>
        </is>
      </c>
      <c r="E41" t="n">
        <v>28</v>
      </c>
      <c r="F41" t="n">
        <v>27</v>
      </c>
      <c r="G41" s="16" t="n">
        <v>369.88</v>
      </c>
      <c r="H41" s="16" t="n">
        <v>10356.64</v>
      </c>
      <c r="I41" s="16" t="n">
        <v>9986.76</v>
      </c>
      <c r="J41" t="n">
        <v>-1</v>
      </c>
      <c r="K41" t="n">
        <v>1</v>
      </c>
      <c r="L41" s="12" t="n">
        <v>0.9643</v>
      </c>
      <c r="M41" t="n">
        <v>15</v>
      </c>
      <c r="N41" t="inlineStr">
        <is>
          <t>Shortage</t>
        </is>
      </c>
      <c r="O41" t="inlineStr">
        <is>
          <t>Transaction Delay</t>
        </is>
      </c>
      <c r="P41" t="inlineStr">
        <is>
          <t>Completed</t>
        </is>
      </c>
      <c r="Q41" s="17" t="n">
        <v>46257</v>
      </c>
    </row>
    <row r="42">
      <c r="A42" t="inlineStr">
        <is>
          <t>SKU-0041</t>
        </is>
      </c>
      <c r="B42" t="inlineStr">
        <is>
          <t>Relay</t>
        </is>
      </c>
      <c r="C42" t="inlineStr">
        <is>
          <t>Electrical</t>
        </is>
      </c>
      <c r="D42" t="inlineStr">
        <is>
          <t>WH-A02</t>
        </is>
      </c>
      <c r="E42" t="n">
        <v>359</v>
      </c>
      <c r="F42" t="n">
        <v>359</v>
      </c>
      <c r="G42" s="16" t="n">
        <v>94.55</v>
      </c>
      <c r="H42" s="16" t="n">
        <v>33943.45</v>
      </c>
      <c r="I42" s="16" t="n">
        <v>33943.45</v>
      </c>
      <c r="J42" t="n">
        <v>0</v>
      </c>
      <c r="K42" t="n">
        <v>0</v>
      </c>
      <c r="L42" s="12" t="n">
        <v>1</v>
      </c>
      <c r="M42" t="n">
        <v>148</v>
      </c>
      <c r="N42" t="inlineStr">
        <is>
          <t>Accurate</t>
        </is>
      </c>
      <c r="O42" t="inlineStr">
        <is>
          <t>No Variance</t>
        </is>
      </c>
      <c r="P42" t="inlineStr">
        <is>
          <t>Pending</t>
        </is>
      </c>
      <c r="Q42" s="17" t="n">
        <v>46185</v>
      </c>
    </row>
    <row r="43">
      <c r="A43" t="inlineStr">
        <is>
          <t>SKU-0042</t>
        </is>
      </c>
      <c r="B43" t="inlineStr">
        <is>
          <t>Bracket</t>
        </is>
      </c>
      <c r="C43" t="inlineStr">
        <is>
          <t>Mechanical</t>
        </is>
      </c>
      <c r="D43" t="inlineStr">
        <is>
          <t>WH-A02</t>
        </is>
      </c>
      <c r="E43" t="n">
        <v>419</v>
      </c>
      <c r="F43" t="n">
        <v>421</v>
      </c>
      <c r="G43" s="16" t="n">
        <v>28.87</v>
      </c>
      <c r="H43" s="16" t="n">
        <v>12096.53</v>
      </c>
      <c r="I43" s="16" t="n">
        <v>12154.27</v>
      </c>
      <c r="J43" t="n">
        <v>2</v>
      </c>
      <c r="K43" t="n">
        <v>2</v>
      </c>
      <c r="L43" s="12" t="n">
        <v>0.9952</v>
      </c>
      <c r="M43" t="n">
        <v>90</v>
      </c>
      <c r="N43" t="inlineStr">
        <is>
          <t>Excess</t>
        </is>
      </c>
      <c r="O43" t="inlineStr">
        <is>
          <t>Damaged Stock</t>
        </is>
      </c>
      <c r="P43" t="inlineStr">
        <is>
          <t>Completed</t>
        </is>
      </c>
      <c r="Q43" s="17" t="n">
        <v>46095</v>
      </c>
    </row>
    <row r="44">
      <c r="A44" t="inlineStr">
        <is>
          <t>SKU-0043</t>
        </is>
      </c>
      <c r="B44" t="inlineStr">
        <is>
          <t>Bearing</t>
        </is>
      </c>
      <c r="C44" t="inlineStr">
        <is>
          <t>Mechanical</t>
        </is>
      </c>
      <c r="D44" t="inlineStr">
        <is>
          <t>WH-B02</t>
        </is>
      </c>
      <c r="E44" t="n">
        <v>456</v>
      </c>
      <c r="F44" t="n">
        <v>456</v>
      </c>
      <c r="G44" s="16" t="n">
        <v>404.32</v>
      </c>
      <c r="H44" s="16" t="n">
        <v>184369.92</v>
      </c>
      <c r="I44" s="16" t="n">
        <v>184369.92</v>
      </c>
      <c r="J44" t="n">
        <v>0</v>
      </c>
      <c r="K44" t="n">
        <v>0</v>
      </c>
      <c r="L44" s="12" t="n">
        <v>1</v>
      </c>
      <c r="M44" t="n">
        <v>56</v>
      </c>
      <c r="N44" t="inlineStr">
        <is>
          <t>Accurate</t>
        </is>
      </c>
      <c r="O44" t="inlineStr">
        <is>
          <t>No Variance</t>
        </is>
      </c>
      <c r="P44" t="inlineStr">
        <is>
          <t>Pending</t>
        </is>
      </c>
      <c r="Q44" s="17" t="n">
        <v>46116</v>
      </c>
    </row>
    <row r="45">
      <c r="A45" t="inlineStr">
        <is>
          <t>SKU-0044</t>
        </is>
      </c>
      <c r="B45" t="inlineStr">
        <is>
          <t>Adhesive</t>
        </is>
      </c>
      <c r="C45" t="inlineStr">
        <is>
          <t>Consumables</t>
        </is>
      </c>
      <c r="D45" t="inlineStr">
        <is>
          <t>WH-A02</t>
        </is>
      </c>
      <c r="E45" t="n">
        <v>22</v>
      </c>
      <c r="F45" t="n">
        <v>22</v>
      </c>
      <c r="G45" s="16" t="n">
        <v>343.51</v>
      </c>
      <c r="H45" s="16" t="n">
        <v>7557.22</v>
      </c>
      <c r="I45" s="16" t="n">
        <v>7557.22</v>
      </c>
      <c r="J45" t="n">
        <v>0</v>
      </c>
      <c r="K45" t="n">
        <v>0</v>
      </c>
      <c r="L45" s="12" t="n">
        <v>1</v>
      </c>
      <c r="M45" t="n">
        <v>76</v>
      </c>
      <c r="N45" t="inlineStr">
        <is>
          <t>Accurate</t>
        </is>
      </c>
      <c r="O45" t="inlineStr">
        <is>
          <t>No Variance</t>
        </is>
      </c>
      <c r="P45" t="inlineStr">
        <is>
          <t>Completed</t>
        </is>
      </c>
      <c r="Q45" s="17" t="n">
        <v>46224</v>
      </c>
    </row>
    <row r="46">
      <c r="A46" t="inlineStr">
        <is>
          <t>SKU-0045</t>
        </is>
      </c>
      <c r="B46" t="inlineStr">
        <is>
          <t>Protective Film</t>
        </is>
      </c>
      <c r="C46" t="inlineStr">
        <is>
          <t>Consumables</t>
        </is>
      </c>
      <c r="D46" t="inlineStr">
        <is>
          <t>WH-C02</t>
        </is>
      </c>
      <c r="E46" t="n">
        <v>270</v>
      </c>
      <c r="F46" t="n">
        <v>270</v>
      </c>
      <c r="G46" s="16" t="n">
        <v>834.13</v>
      </c>
      <c r="H46" s="16" t="n">
        <v>225215.1</v>
      </c>
      <c r="I46" s="16" t="n">
        <v>225215.1</v>
      </c>
      <c r="J46" t="n">
        <v>0</v>
      </c>
      <c r="K46" t="n">
        <v>0</v>
      </c>
      <c r="L46" s="12" t="n">
        <v>1</v>
      </c>
      <c r="M46" t="n">
        <v>142</v>
      </c>
      <c r="N46" t="inlineStr">
        <is>
          <t>Accurate</t>
        </is>
      </c>
      <c r="O46" t="inlineStr">
        <is>
          <t>No Variance</t>
        </is>
      </c>
      <c r="P46" t="inlineStr">
        <is>
          <t>Completed</t>
        </is>
      </c>
      <c r="Q46" s="17" t="n">
        <v>46034</v>
      </c>
    </row>
    <row r="47">
      <c r="A47" t="inlineStr">
        <is>
          <t>SKU-0046</t>
        </is>
      </c>
      <c r="B47" t="inlineStr">
        <is>
          <t>Relay</t>
        </is>
      </c>
      <c r="C47" t="inlineStr">
        <is>
          <t>Electrical</t>
        </is>
      </c>
      <c r="D47" t="inlineStr">
        <is>
          <t>WH-A02</t>
        </is>
      </c>
      <c r="E47" t="n">
        <v>307</v>
      </c>
      <c r="F47" t="n">
        <v>322</v>
      </c>
      <c r="G47" s="16" t="n">
        <v>40.21</v>
      </c>
      <c r="H47" s="16" t="n">
        <v>12344.47</v>
      </c>
      <c r="I47" s="16" t="n">
        <v>12947.62</v>
      </c>
      <c r="J47" t="n">
        <v>15</v>
      </c>
      <c r="K47" t="n">
        <v>15</v>
      </c>
      <c r="L47" s="12" t="n">
        <v>0.9510999999999999</v>
      </c>
      <c r="M47" t="n">
        <v>157</v>
      </c>
      <c r="N47" t="inlineStr">
        <is>
          <t>Excess</t>
        </is>
      </c>
      <c r="O47" t="inlineStr">
        <is>
          <t>Damaged Stock</t>
        </is>
      </c>
      <c r="P47" t="inlineStr">
        <is>
          <t>Completed</t>
        </is>
      </c>
      <c r="Q47" s="17" t="n">
        <v>46213</v>
      </c>
    </row>
    <row r="48">
      <c r="A48" t="inlineStr">
        <is>
          <t>SKU-0047</t>
        </is>
      </c>
      <c r="B48" t="inlineStr">
        <is>
          <t>Label Roll</t>
        </is>
      </c>
      <c r="C48" t="inlineStr">
        <is>
          <t>Consumables</t>
        </is>
      </c>
      <c r="D48" t="inlineStr">
        <is>
          <t>WH-C01</t>
        </is>
      </c>
      <c r="E48" t="n">
        <v>271</v>
      </c>
      <c r="F48" t="n">
        <v>271</v>
      </c>
      <c r="G48" s="16" t="n">
        <v>765.38</v>
      </c>
      <c r="H48" s="16" t="n">
        <v>207417.98</v>
      </c>
      <c r="I48" s="16" t="n">
        <v>207417.98</v>
      </c>
      <c r="J48" t="n">
        <v>0</v>
      </c>
      <c r="K48" t="n">
        <v>0</v>
      </c>
      <c r="L48" s="12" t="n">
        <v>1</v>
      </c>
      <c r="M48" t="n">
        <v>53</v>
      </c>
      <c r="N48" t="inlineStr">
        <is>
          <t>Accurate</t>
        </is>
      </c>
      <c r="O48" t="inlineStr">
        <is>
          <t>No Variance</t>
        </is>
      </c>
      <c r="P48" t="inlineStr">
        <is>
          <t>Completed</t>
        </is>
      </c>
      <c r="Q48" s="17" t="n">
        <v>46038</v>
      </c>
    </row>
    <row r="49">
      <c r="A49" t="inlineStr">
        <is>
          <t>SKU-0048</t>
        </is>
      </c>
      <c r="B49" t="inlineStr">
        <is>
          <t>Torque Wrench</t>
        </is>
      </c>
      <c r="C49" t="inlineStr">
        <is>
          <t>Tools</t>
        </is>
      </c>
      <c r="D49" t="inlineStr">
        <is>
          <t>WH-C01</t>
        </is>
      </c>
      <c r="E49" t="n">
        <v>483</v>
      </c>
      <c r="F49" t="n">
        <v>482</v>
      </c>
      <c r="G49" s="16" t="n">
        <v>314.67</v>
      </c>
      <c r="H49" s="16" t="n">
        <v>151985.61</v>
      </c>
      <c r="I49" s="16" t="n">
        <v>151670.94</v>
      </c>
      <c r="J49" t="n">
        <v>-1</v>
      </c>
      <c r="K49" t="n">
        <v>1</v>
      </c>
      <c r="L49" s="12" t="n">
        <v>0.9979</v>
      </c>
      <c r="M49" t="n">
        <v>22</v>
      </c>
      <c r="N49" t="inlineStr">
        <is>
          <t>Shortage</t>
        </is>
      </c>
      <c r="O49" t="inlineStr">
        <is>
          <t>Transaction Delay</t>
        </is>
      </c>
      <c r="P49" t="inlineStr">
        <is>
          <t>Completed</t>
        </is>
      </c>
      <c r="Q49" s="17" t="n">
        <v>46196</v>
      </c>
    </row>
    <row r="50">
      <c r="A50" t="inlineStr">
        <is>
          <t>SKU-0049</t>
        </is>
      </c>
      <c r="B50" t="inlineStr">
        <is>
          <t>Relay</t>
        </is>
      </c>
      <c r="C50" t="inlineStr">
        <is>
          <t>Electrical</t>
        </is>
      </c>
      <c r="D50" t="inlineStr">
        <is>
          <t>WH-C01</t>
        </is>
      </c>
      <c r="E50" t="n">
        <v>168</v>
      </c>
      <c r="F50" t="n">
        <v>168</v>
      </c>
      <c r="G50" s="16" t="n">
        <v>282.65</v>
      </c>
      <c r="H50" s="16" t="n">
        <v>47485.2</v>
      </c>
      <c r="I50" s="16" t="n">
        <v>47485.2</v>
      </c>
      <c r="J50" t="n">
        <v>0</v>
      </c>
      <c r="K50" t="n">
        <v>0</v>
      </c>
      <c r="L50" s="12" t="n">
        <v>1</v>
      </c>
      <c r="M50" t="n">
        <v>80</v>
      </c>
      <c r="N50" t="inlineStr">
        <is>
          <t>Accurate</t>
        </is>
      </c>
      <c r="O50" t="inlineStr">
        <is>
          <t>No Variance</t>
        </is>
      </c>
      <c r="P50" t="inlineStr">
        <is>
          <t>Completed</t>
        </is>
      </c>
      <c r="Q50" s="17" t="n">
        <v>46076</v>
      </c>
    </row>
    <row r="51">
      <c r="A51" t="inlineStr">
        <is>
          <t>SKU-0050</t>
        </is>
      </c>
      <c r="B51" t="inlineStr">
        <is>
          <t>Gauge</t>
        </is>
      </c>
      <c r="C51" t="inlineStr">
        <is>
          <t>Tools</t>
        </is>
      </c>
      <c r="D51" t="inlineStr">
        <is>
          <t>WH-C02</t>
        </is>
      </c>
      <c r="E51" t="n">
        <v>393</v>
      </c>
      <c r="F51" t="n">
        <v>398</v>
      </c>
      <c r="G51" s="16" t="n">
        <v>349.92</v>
      </c>
      <c r="H51" s="16" t="n">
        <v>137518.56</v>
      </c>
      <c r="I51" s="16" t="n">
        <v>139268.16</v>
      </c>
      <c r="J51" t="n">
        <v>5</v>
      </c>
      <c r="K51" t="n">
        <v>5</v>
      </c>
      <c r="L51" s="12" t="n">
        <v>0.9873</v>
      </c>
      <c r="M51" t="n">
        <v>5</v>
      </c>
      <c r="N51" t="inlineStr">
        <is>
          <t>Excess</t>
        </is>
      </c>
      <c r="O51" t="inlineStr">
        <is>
          <t>Transaction Delay</t>
        </is>
      </c>
      <c r="P51" t="inlineStr">
        <is>
          <t>Completed</t>
        </is>
      </c>
      <c r="Q51" s="17" t="n">
        <v>46080</v>
      </c>
    </row>
    <row r="52">
      <c r="A52" t="inlineStr">
        <is>
          <t>SKU-0051</t>
        </is>
      </c>
      <c r="B52" t="inlineStr">
        <is>
          <t>Test Lead</t>
        </is>
      </c>
      <c r="C52" t="inlineStr">
        <is>
          <t>Tools</t>
        </is>
      </c>
      <c r="D52" t="inlineStr">
        <is>
          <t>WH-C01</t>
        </is>
      </c>
      <c r="E52" t="n">
        <v>345</v>
      </c>
      <c r="F52" t="n">
        <v>345</v>
      </c>
      <c r="G52" s="16" t="n">
        <v>379.98</v>
      </c>
      <c r="H52" s="16" t="n">
        <v>131093.1</v>
      </c>
      <c r="I52" s="16" t="n">
        <v>131093.1</v>
      </c>
      <c r="J52" t="n">
        <v>0</v>
      </c>
      <c r="K52" t="n">
        <v>0</v>
      </c>
      <c r="L52" s="12" t="n">
        <v>1</v>
      </c>
      <c r="M52" t="n">
        <v>177</v>
      </c>
      <c r="N52" t="inlineStr">
        <is>
          <t>Accurate</t>
        </is>
      </c>
      <c r="O52" t="inlineStr">
        <is>
          <t>No Variance</t>
        </is>
      </c>
      <c r="P52" t="inlineStr">
        <is>
          <t>Completed</t>
        </is>
      </c>
      <c r="Q52" s="17" t="n">
        <v>46157</v>
      </c>
    </row>
    <row r="53">
      <c r="A53" t="inlineStr">
        <is>
          <t>SKU-0052</t>
        </is>
      </c>
      <c r="B53" t="inlineStr">
        <is>
          <t>Caliper</t>
        </is>
      </c>
      <c r="C53" t="inlineStr">
        <is>
          <t>Tools</t>
        </is>
      </c>
      <c r="D53" t="inlineStr">
        <is>
          <t>WH-C02</t>
        </is>
      </c>
      <c r="E53" t="n">
        <v>53</v>
      </c>
      <c r="F53" t="n">
        <v>53</v>
      </c>
      <c r="G53" s="16" t="n">
        <v>566.96</v>
      </c>
      <c r="H53" s="16" t="n">
        <v>30048.88</v>
      </c>
      <c r="I53" s="16" t="n">
        <v>30048.88</v>
      </c>
      <c r="J53" t="n">
        <v>0</v>
      </c>
      <c r="K53" t="n">
        <v>0</v>
      </c>
      <c r="L53" s="12" t="n">
        <v>1</v>
      </c>
      <c r="M53" t="n">
        <v>163</v>
      </c>
      <c r="N53" t="inlineStr">
        <is>
          <t>Accurate</t>
        </is>
      </c>
      <c r="O53" t="inlineStr">
        <is>
          <t>No Variance</t>
        </is>
      </c>
      <c r="P53" t="inlineStr">
        <is>
          <t>Completed</t>
        </is>
      </c>
      <c r="Q53" s="17" t="n">
        <v>46050</v>
      </c>
    </row>
    <row r="54">
      <c r="A54" t="inlineStr">
        <is>
          <t>SKU-0053</t>
        </is>
      </c>
      <c r="B54" t="inlineStr">
        <is>
          <t>Fastener Kit</t>
        </is>
      </c>
      <c r="C54" t="inlineStr">
        <is>
          <t>Mechanical</t>
        </is>
      </c>
      <c r="D54" t="inlineStr">
        <is>
          <t>WH-A02</t>
        </is>
      </c>
      <c r="E54" t="n">
        <v>422</v>
      </c>
      <c r="F54" t="n">
        <v>422</v>
      </c>
      <c r="G54" s="16" t="n">
        <v>28.57</v>
      </c>
      <c r="H54" s="16" t="n">
        <v>12056.54</v>
      </c>
      <c r="I54" s="16" t="n">
        <v>12056.54</v>
      </c>
      <c r="J54" t="n">
        <v>0</v>
      </c>
      <c r="K54" t="n">
        <v>0</v>
      </c>
      <c r="L54" s="12" t="n">
        <v>1</v>
      </c>
      <c r="M54" t="n">
        <v>67</v>
      </c>
      <c r="N54" t="inlineStr">
        <is>
          <t>Accurate</t>
        </is>
      </c>
      <c r="O54" t="inlineStr">
        <is>
          <t>No Variance</t>
        </is>
      </c>
      <c r="P54" t="inlineStr">
        <is>
          <t>Pending</t>
        </is>
      </c>
      <c r="Q54" s="17" t="n">
        <v>46183</v>
      </c>
    </row>
    <row r="55">
      <c r="A55" t="inlineStr">
        <is>
          <t>SKU-0054</t>
        </is>
      </c>
      <c r="B55" t="inlineStr">
        <is>
          <t>Sensor</t>
        </is>
      </c>
      <c r="C55" t="inlineStr">
        <is>
          <t>Electrical</t>
        </is>
      </c>
      <c r="D55" t="inlineStr">
        <is>
          <t>WH-B02</t>
        </is>
      </c>
      <c r="E55" t="n">
        <v>463</v>
      </c>
      <c r="F55" t="n">
        <v>463</v>
      </c>
      <c r="G55" s="16" t="n">
        <v>171.71</v>
      </c>
      <c r="H55" s="16" t="n">
        <v>79501.73</v>
      </c>
      <c r="I55" s="16" t="n">
        <v>79501.73</v>
      </c>
      <c r="J55" t="n">
        <v>0</v>
      </c>
      <c r="K55" t="n">
        <v>0</v>
      </c>
      <c r="L55" s="12" t="n">
        <v>1</v>
      </c>
      <c r="M55" t="n">
        <v>103</v>
      </c>
      <c r="N55" t="inlineStr">
        <is>
          <t>Accurate</t>
        </is>
      </c>
      <c r="O55" t="inlineStr">
        <is>
          <t>No Variance</t>
        </is>
      </c>
      <c r="P55" t="inlineStr">
        <is>
          <t>Pending</t>
        </is>
      </c>
      <c r="Q55" s="17" t="n">
        <v>46129</v>
      </c>
    </row>
    <row r="56">
      <c r="A56" t="inlineStr">
        <is>
          <t>SKU-0055</t>
        </is>
      </c>
      <c r="B56" t="inlineStr">
        <is>
          <t>Bracket</t>
        </is>
      </c>
      <c r="C56" t="inlineStr">
        <is>
          <t>Mechanical</t>
        </is>
      </c>
      <c r="D56" t="inlineStr">
        <is>
          <t>WH-C02</t>
        </is>
      </c>
      <c r="E56" t="n">
        <v>362</v>
      </c>
      <c r="F56" t="n">
        <v>362</v>
      </c>
      <c r="G56" s="16" t="n">
        <v>640.3099999999999</v>
      </c>
      <c r="H56" s="16" t="n">
        <v>231792.22</v>
      </c>
      <c r="I56" s="16" t="n">
        <v>231792.22</v>
      </c>
      <c r="J56" t="n">
        <v>0</v>
      </c>
      <c r="K56" t="n">
        <v>0</v>
      </c>
      <c r="L56" s="12" t="n">
        <v>1</v>
      </c>
      <c r="M56" t="n">
        <v>32</v>
      </c>
      <c r="N56" t="inlineStr">
        <is>
          <t>Accurate</t>
        </is>
      </c>
      <c r="O56" t="inlineStr">
        <is>
          <t>No Variance</t>
        </is>
      </c>
      <c r="P56" t="inlineStr">
        <is>
          <t>Pending</t>
        </is>
      </c>
      <c r="Q56" s="17" t="n">
        <v>46083</v>
      </c>
    </row>
    <row r="57">
      <c r="A57" t="inlineStr">
        <is>
          <t>SKU-0056</t>
        </is>
      </c>
      <c r="B57" t="inlineStr">
        <is>
          <t>Gear</t>
        </is>
      </c>
      <c r="C57" t="inlineStr">
        <is>
          <t>Mechanical</t>
        </is>
      </c>
      <c r="D57" t="inlineStr">
        <is>
          <t>WH-B02</t>
        </is>
      </c>
      <c r="E57" t="n">
        <v>35</v>
      </c>
      <c r="F57" t="n">
        <v>35</v>
      </c>
      <c r="G57" s="16" t="n">
        <v>780.51</v>
      </c>
      <c r="H57" s="16" t="n">
        <v>27317.85</v>
      </c>
      <c r="I57" s="16" t="n">
        <v>27317.85</v>
      </c>
      <c r="J57" t="n">
        <v>0</v>
      </c>
      <c r="K57" t="n">
        <v>0</v>
      </c>
      <c r="L57" s="12" t="n">
        <v>1</v>
      </c>
      <c r="M57" t="n">
        <v>36</v>
      </c>
      <c r="N57" t="inlineStr">
        <is>
          <t>Accurate</t>
        </is>
      </c>
      <c r="O57" t="inlineStr">
        <is>
          <t>No Variance</t>
        </is>
      </c>
      <c r="P57" t="inlineStr">
        <is>
          <t>Pending</t>
        </is>
      </c>
      <c r="Q57" s="17" t="n">
        <v>46061</v>
      </c>
    </row>
    <row r="58">
      <c r="A58" t="inlineStr">
        <is>
          <t>SKU-0057</t>
        </is>
      </c>
      <c r="B58" t="inlineStr">
        <is>
          <t>Test Lead</t>
        </is>
      </c>
      <c r="C58" t="inlineStr">
        <is>
          <t>Tools</t>
        </is>
      </c>
      <c r="D58" t="inlineStr">
        <is>
          <t>WH-C01</t>
        </is>
      </c>
      <c r="E58" t="n">
        <v>314</v>
      </c>
      <c r="F58" t="n">
        <v>314</v>
      </c>
      <c r="G58" s="16" t="n">
        <v>643.92</v>
      </c>
      <c r="H58" s="16" t="n">
        <v>202190.88</v>
      </c>
      <c r="I58" s="16" t="n">
        <v>202190.88</v>
      </c>
      <c r="J58" t="n">
        <v>0</v>
      </c>
      <c r="K58" t="n">
        <v>0</v>
      </c>
      <c r="L58" s="12" t="n">
        <v>1</v>
      </c>
      <c r="M58" t="n">
        <v>118</v>
      </c>
      <c r="N58" t="inlineStr">
        <is>
          <t>Accurate</t>
        </is>
      </c>
      <c r="O58" t="inlineStr">
        <is>
          <t>No Variance</t>
        </is>
      </c>
      <c r="P58" t="inlineStr">
        <is>
          <t>Pending</t>
        </is>
      </c>
      <c r="Q58" s="17" t="n">
        <v>46239</v>
      </c>
    </row>
    <row r="59">
      <c r="A59" t="inlineStr">
        <is>
          <t>SKU-0058</t>
        </is>
      </c>
      <c r="B59" t="inlineStr">
        <is>
          <t>Safety Vest</t>
        </is>
      </c>
      <c r="C59" t="inlineStr">
        <is>
          <t>Safety</t>
        </is>
      </c>
      <c r="D59" t="inlineStr">
        <is>
          <t>WH-A02</t>
        </is>
      </c>
      <c r="E59" t="n">
        <v>390</v>
      </c>
      <c r="F59" t="n">
        <v>392</v>
      </c>
      <c r="G59" s="16" t="n">
        <v>226.24</v>
      </c>
      <c r="H59" s="16" t="n">
        <v>88233.60000000001</v>
      </c>
      <c r="I59" s="16" t="n">
        <v>88686.08</v>
      </c>
      <c r="J59" t="n">
        <v>2</v>
      </c>
      <c r="K59" t="n">
        <v>2</v>
      </c>
      <c r="L59" s="12" t="n">
        <v>0.9949</v>
      </c>
      <c r="M59" t="n">
        <v>68</v>
      </c>
      <c r="N59" t="inlineStr">
        <is>
          <t>Excess</t>
        </is>
      </c>
      <c r="O59" t="inlineStr">
        <is>
          <t>Transaction Delay</t>
        </is>
      </c>
      <c r="P59" t="inlineStr">
        <is>
          <t>Pending</t>
        </is>
      </c>
      <c r="Q59" s="17" t="n">
        <v>46187</v>
      </c>
    </row>
    <row r="60">
      <c r="A60" t="inlineStr">
        <is>
          <t>SKU-0059</t>
        </is>
      </c>
      <c r="B60" t="inlineStr">
        <is>
          <t>Fastener Kit</t>
        </is>
      </c>
      <c r="C60" t="inlineStr">
        <is>
          <t>Mechanical</t>
        </is>
      </c>
      <c r="D60" t="inlineStr">
        <is>
          <t>WH-B02</t>
        </is>
      </c>
      <c r="E60" t="n">
        <v>49</v>
      </c>
      <c r="F60" t="n">
        <v>49</v>
      </c>
      <c r="G60" s="16" t="n">
        <v>205.44</v>
      </c>
      <c r="H60" s="16" t="n">
        <v>10066.56</v>
      </c>
      <c r="I60" s="16" t="n">
        <v>10066.56</v>
      </c>
      <c r="J60" t="n">
        <v>0</v>
      </c>
      <c r="K60" t="n">
        <v>0</v>
      </c>
      <c r="L60" s="12" t="n">
        <v>1</v>
      </c>
      <c r="M60" t="n">
        <v>90</v>
      </c>
      <c r="N60" t="inlineStr">
        <is>
          <t>Accurate</t>
        </is>
      </c>
      <c r="O60" t="inlineStr">
        <is>
          <t>No Variance</t>
        </is>
      </c>
      <c r="P60" t="inlineStr">
        <is>
          <t>Completed</t>
        </is>
      </c>
      <c r="Q60" s="17" t="n">
        <v>46255</v>
      </c>
    </row>
    <row r="61">
      <c r="A61" t="inlineStr">
        <is>
          <t>SKU-0060</t>
        </is>
      </c>
      <c r="B61" t="inlineStr">
        <is>
          <t>Gloves</t>
        </is>
      </c>
      <c r="C61" t="inlineStr">
        <is>
          <t>Safety</t>
        </is>
      </c>
      <c r="D61" t="inlineStr">
        <is>
          <t>WH-A02</t>
        </is>
      </c>
      <c r="E61" t="n">
        <v>87</v>
      </c>
      <c r="F61" t="n">
        <v>87</v>
      </c>
      <c r="G61" s="16" t="n">
        <v>592.3099999999999</v>
      </c>
      <c r="H61" s="16" t="n">
        <v>51530.97</v>
      </c>
      <c r="I61" s="16" t="n">
        <v>51530.97</v>
      </c>
      <c r="J61" t="n">
        <v>0</v>
      </c>
      <c r="K61" t="n">
        <v>0</v>
      </c>
      <c r="L61" s="12" t="n">
        <v>1</v>
      </c>
      <c r="M61" t="n">
        <v>59</v>
      </c>
      <c r="N61" t="inlineStr">
        <is>
          <t>Accurate</t>
        </is>
      </c>
      <c r="O61" t="inlineStr">
        <is>
          <t>No Variance</t>
        </is>
      </c>
      <c r="P61" t="inlineStr">
        <is>
          <t>Completed</t>
        </is>
      </c>
      <c r="Q61" s="17" t="n">
        <v>46133</v>
      </c>
    </row>
    <row r="62">
      <c r="A62" t="inlineStr">
        <is>
          <t>SKU-0061</t>
        </is>
      </c>
      <c r="B62" t="inlineStr">
        <is>
          <t>Hand Tool Set</t>
        </is>
      </c>
      <c r="C62" t="inlineStr">
        <is>
          <t>Tools</t>
        </is>
      </c>
      <c r="D62" t="inlineStr">
        <is>
          <t>WH-C01</t>
        </is>
      </c>
      <c r="E62" t="n">
        <v>248</v>
      </c>
      <c r="F62" t="n">
        <v>248</v>
      </c>
      <c r="G62" s="16" t="n">
        <v>182.15</v>
      </c>
      <c r="H62" s="16" t="n">
        <v>45173.2</v>
      </c>
      <c r="I62" s="16" t="n">
        <v>45173.2</v>
      </c>
      <c r="J62" t="n">
        <v>0</v>
      </c>
      <c r="K62" t="n">
        <v>0</v>
      </c>
      <c r="L62" s="12" t="n">
        <v>1</v>
      </c>
      <c r="M62" t="n">
        <v>112</v>
      </c>
      <c r="N62" t="inlineStr">
        <is>
          <t>Accurate</t>
        </is>
      </c>
      <c r="O62" t="inlineStr">
        <is>
          <t>No Variance</t>
        </is>
      </c>
      <c r="P62" t="inlineStr">
        <is>
          <t>Pending</t>
        </is>
      </c>
      <c r="Q62" s="17" t="n">
        <v>46224</v>
      </c>
    </row>
    <row r="63">
      <c r="A63" t="inlineStr">
        <is>
          <t>SKU-0062</t>
        </is>
      </c>
      <c r="B63" t="inlineStr">
        <is>
          <t>Gloves</t>
        </is>
      </c>
      <c r="C63" t="inlineStr">
        <is>
          <t>Safety</t>
        </is>
      </c>
      <c r="D63" t="inlineStr">
        <is>
          <t>WH-C01</t>
        </is>
      </c>
      <c r="E63" t="n">
        <v>204</v>
      </c>
      <c r="F63" t="n">
        <v>204</v>
      </c>
      <c r="G63" s="16" t="n">
        <v>801.79</v>
      </c>
      <c r="H63" s="16" t="n">
        <v>163565.16</v>
      </c>
      <c r="I63" s="16" t="n">
        <v>163565.16</v>
      </c>
      <c r="J63" t="n">
        <v>0</v>
      </c>
      <c r="K63" t="n">
        <v>0</v>
      </c>
      <c r="L63" s="12" t="n">
        <v>1</v>
      </c>
      <c r="M63" t="n">
        <v>81</v>
      </c>
      <c r="N63" t="inlineStr">
        <is>
          <t>Accurate</t>
        </is>
      </c>
      <c r="O63" t="inlineStr">
        <is>
          <t>No Variance</t>
        </is>
      </c>
      <c r="P63" t="inlineStr">
        <is>
          <t>Pending</t>
        </is>
      </c>
      <c r="Q63" s="17" t="n">
        <v>46245</v>
      </c>
    </row>
    <row r="64">
      <c r="A64" t="inlineStr">
        <is>
          <t>SKU-0063</t>
        </is>
      </c>
      <c r="B64" t="inlineStr">
        <is>
          <t>Test Lead</t>
        </is>
      </c>
      <c r="C64" t="inlineStr">
        <is>
          <t>Tools</t>
        </is>
      </c>
      <c r="D64" t="inlineStr">
        <is>
          <t>WH-C02</t>
        </is>
      </c>
      <c r="E64" t="n">
        <v>386</v>
      </c>
      <c r="F64" t="n">
        <v>386</v>
      </c>
      <c r="G64" s="16" t="n">
        <v>515.9400000000001</v>
      </c>
      <c r="H64" s="16" t="n">
        <v>199152.84</v>
      </c>
      <c r="I64" s="16" t="n">
        <v>199152.84</v>
      </c>
      <c r="J64" t="n">
        <v>0</v>
      </c>
      <c r="K64" t="n">
        <v>0</v>
      </c>
      <c r="L64" s="12" t="n">
        <v>1</v>
      </c>
      <c r="M64" t="n">
        <v>61</v>
      </c>
      <c r="N64" t="inlineStr">
        <is>
          <t>Accurate</t>
        </is>
      </c>
      <c r="O64" t="inlineStr">
        <is>
          <t>No Variance</t>
        </is>
      </c>
      <c r="P64" t="inlineStr">
        <is>
          <t>Pending</t>
        </is>
      </c>
      <c r="Q64" s="17" t="n">
        <v>46083</v>
      </c>
    </row>
    <row r="65">
      <c r="A65" t="inlineStr">
        <is>
          <t>SKU-0064</t>
        </is>
      </c>
      <c r="B65" t="inlineStr">
        <is>
          <t>Label Roll</t>
        </is>
      </c>
      <c r="C65" t="inlineStr">
        <is>
          <t>Consumables</t>
        </is>
      </c>
      <c r="D65" t="inlineStr">
        <is>
          <t>WH-B02</t>
        </is>
      </c>
      <c r="E65" t="n">
        <v>24</v>
      </c>
      <c r="F65" t="n">
        <v>24</v>
      </c>
      <c r="G65" s="16" t="n">
        <v>571.1900000000001</v>
      </c>
      <c r="H65" s="16" t="n">
        <v>13708.56</v>
      </c>
      <c r="I65" s="16" t="n">
        <v>13708.56</v>
      </c>
      <c r="J65" t="n">
        <v>0</v>
      </c>
      <c r="K65" t="n">
        <v>0</v>
      </c>
      <c r="L65" s="12" t="n">
        <v>1</v>
      </c>
      <c r="M65" t="n">
        <v>108</v>
      </c>
      <c r="N65" t="inlineStr">
        <is>
          <t>Accurate</t>
        </is>
      </c>
      <c r="O65" t="inlineStr">
        <is>
          <t>No Variance</t>
        </is>
      </c>
      <c r="P65" t="inlineStr">
        <is>
          <t>Completed</t>
        </is>
      </c>
      <c r="Q65" s="17" t="n">
        <v>46242</v>
      </c>
    </row>
    <row r="66">
      <c r="A66" t="inlineStr">
        <is>
          <t>SKU-0065</t>
        </is>
      </c>
      <c r="B66" t="inlineStr">
        <is>
          <t>Caliper</t>
        </is>
      </c>
      <c r="C66" t="inlineStr">
        <is>
          <t>Tools</t>
        </is>
      </c>
      <c r="D66" t="inlineStr">
        <is>
          <t>WH-C01</t>
        </is>
      </c>
      <c r="E66" t="n">
        <v>283</v>
      </c>
      <c r="F66" t="n">
        <v>283</v>
      </c>
      <c r="G66" s="16" t="n">
        <v>339.77</v>
      </c>
      <c r="H66" s="16" t="n">
        <v>96154.91</v>
      </c>
      <c r="I66" s="16" t="n">
        <v>96154.91</v>
      </c>
      <c r="J66" t="n">
        <v>0</v>
      </c>
      <c r="K66" t="n">
        <v>0</v>
      </c>
      <c r="L66" s="12" t="n">
        <v>1</v>
      </c>
      <c r="M66" t="n">
        <v>149</v>
      </c>
      <c r="N66" t="inlineStr">
        <is>
          <t>Accurate</t>
        </is>
      </c>
      <c r="O66" t="inlineStr">
        <is>
          <t>No Variance</t>
        </is>
      </c>
      <c r="P66" t="inlineStr">
        <is>
          <t>Completed</t>
        </is>
      </c>
      <c r="Q66" s="17" t="n">
        <v>46048</v>
      </c>
    </row>
    <row r="67">
      <c r="A67" t="inlineStr">
        <is>
          <t>SKU-0066</t>
        </is>
      </c>
      <c r="B67" t="inlineStr">
        <is>
          <t>Caliper</t>
        </is>
      </c>
      <c r="C67" t="inlineStr">
        <is>
          <t>Tools</t>
        </is>
      </c>
      <c r="D67" t="inlineStr">
        <is>
          <t>WH-B02</t>
        </is>
      </c>
      <c r="E67" t="n">
        <v>103</v>
      </c>
      <c r="F67" t="n">
        <v>103</v>
      </c>
      <c r="G67" s="16" t="n">
        <v>327.21</v>
      </c>
      <c r="H67" s="16" t="n">
        <v>33702.63</v>
      </c>
      <c r="I67" s="16" t="n">
        <v>33702.63</v>
      </c>
      <c r="J67" t="n">
        <v>0</v>
      </c>
      <c r="K67" t="n">
        <v>0</v>
      </c>
      <c r="L67" s="12" t="n">
        <v>1</v>
      </c>
      <c r="M67" t="n">
        <v>59</v>
      </c>
      <c r="N67" t="inlineStr">
        <is>
          <t>Accurate</t>
        </is>
      </c>
      <c r="O67" t="inlineStr">
        <is>
          <t>No Variance</t>
        </is>
      </c>
      <c r="P67" t="inlineStr">
        <is>
          <t>Pending</t>
        </is>
      </c>
      <c r="Q67" s="17" t="n">
        <v>46110</v>
      </c>
    </row>
    <row r="68">
      <c r="A68" t="inlineStr">
        <is>
          <t>SKU-0067</t>
        </is>
      </c>
      <c r="B68" t="inlineStr">
        <is>
          <t>Label Roll</t>
        </is>
      </c>
      <c r="C68" t="inlineStr">
        <is>
          <t>Consumables</t>
        </is>
      </c>
      <c r="D68" t="inlineStr">
        <is>
          <t>WH-B01</t>
        </is>
      </c>
      <c r="E68" t="n">
        <v>395</v>
      </c>
      <c r="F68" t="n">
        <v>403</v>
      </c>
      <c r="G68" s="16" t="n">
        <v>220.41</v>
      </c>
      <c r="H68" s="16" t="n">
        <v>87061.95</v>
      </c>
      <c r="I68" s="16" t="n">
        <v>88825.23</v>
      </c>
      <c r="J68" t="n">
        <v>8</v>
      </c>
      <c r="K68" t="n">
        <v>8</v>
      </c>
      <c r="L68" s="12" t="n">
        <v>0.9797</v>
      </c>
      <c r="M68" t="n">
        <v>25</v>
      </c>
      <c r="N68" t="inlineStr">
        <is>
          <t>Excess</t>
        </is>
      </c>
      <c r="O68" t="inlineStr">
        <is>
          <t>Damaged Stock</t>
        </is>
      </c>
      <c r="P68" t="inlineStr">
        <is>
          <t>Completed</t>
        </is>
      </c>
      <c r="Q68" s="17" t="n">
        <v>46218</v>
      </c>
    </row>
    <row r="69">
      <c r="A69" t="inlineStr">
        <is>
          <t>SKU-0068</t>
        </is>
      </c>
      <c r="B69" t="inlineStr">
        <is>
          <t>Gloves</t>
        </is>
      </c>
      <c r="C69" t="inlineStr">
        <is>
          <t>Safety</t>
        </is>
      </c>
      <c r="D69" t="inlineStr">
        <is>
          <t>WH-B01</t>
        </is>
      </c>
      <c r="E69" t="n">
        <v>124</v>
      </c>
      <c r="F69" t="n">
        <v>124</v>
      </c>
      <c r="G69" s="16" t="n">
        <v>665.8</v>
      </c>
      <c r="H69" s="16" t="n">
        <v>82559.2</v>
      </c>
      <c r="I69" s="16" t="n">
        <v>82559.2</v>
      </c>
      <c r="J69" t="n">
        <v>0</v>
      </c>
      <c r="K69" t="n">
        <v>0</v>
      </c>
      <c r="L69" s="12" t="n">
        <v>1</v>
      </c>
      <c r="M69" t="n">
        <v>171</v>
      </c>
      <c r="N69" t="inlineStr">
        <is>
          <t>Accurate</t>
        </is>
      </c>
      <c r="O69" t="inlineStr">
        <is>
          <t>No Variance</t>
        </is>
      </c>
      <c r="P69" t="inlineStr">
        <is>
          <t>Completed</t>
        </is>
      </c>
      <c r="Q69" s="17" t="n">
        <v>46220</v>
      </c>
    </row>
    <row r="70">
      <c r="A70" t="inlineStr">
        <is>
          <t>SKU-0069</t>
        </is>
      </c>
      <c r="B70" t="inlineStr">
        <is>
          <t>Cable Assembly</t>
        </is>
      </c>
      <c r="C70" t="inlineStr">
        <is>
          <t>Electrical</t>
        </is>
      </c>
      <c r="D70" t="inlineStr">
        <is>
          <t>WH-A02</t>
        </is>
      </c>
      <c r="E70" t="n">
        <v>439</v>
      </c>
      <c r="F70" t="n">
        <v>439</v>
      </c>
      <c r="G70" s="16" t="n">
        <v>136.31</v>
      </c>
      <c r="H70" s="16" t="n">
        <v>59840.09</v>
      </c>
      <c r="I70" s="16" t="n">
        <v>59840.09</v>
      </c>
      <c r="J70" t="n">
        <v>0</v>
      </c>
      <c r="K70" t="n">
        <v>0</v>
      </c>
      <c r="L70" s="12" t="n">
        <v>1</v>
      </c>
      <c r="M70" t="n">
        <v>37</v>
      </c>
      <c r="N70" t="inlineStr">
        <is>
          <t>Accurate</t>
        </is>
      </c>
      <c r="O70" t="inlineStr">
        <is>
          <t>No Variance</t>
        </is>
      </c>
      <c r="P70" t="inlineStr">
        <is>
          <t>Pending</t>
        </is>
      </c>
      <c r="Q70" s="17" t="n">
        <v>46198</v>
      </c>
    </row>
    <row r="71">
      <c r="A71" t="inlineStr">
        <is>
          <t>SKU-0070</t>
        </is>
      </c>
      <c r="B71" t="inlineStr">
        <is>
          <t>Terminal Block</t>
        </is>
      </c>
      <c r="C71" t="inlineStr">
        <is>
          <t>Electrical</t>
        </is>
      </c>
      <c r="D71" t="inlineStr">
        <is>
          <t>WH-A02</t>
        </is>
      </c>
      <c r="E71" t="n">
        <v>248</v>
      </c>
      <c r="F71" t="n">
        <v>248</v>
      </c>
      <c r="G71" s="16" t="n">
        <v>653.73</v>
      </c>
      <c r="H71" s="16" t="n">
        <v>162125.04</v>
      </c>
      <c r="I71" s="16" t="n">
        <v>162125.04</v>
      </c>
      <c r="J71" t="n">
        <v>0</v>
      </c>
      <c r="K71" t="n">
        <v>0</v>
      </c>
      <c r="L71" s="12" t="n">
        <v>1</v>
      </c>
      <c r="M71" t="n">
        <v>47</v>
      </c>
      <c r="N71" t="inlineStr">
        <is>
          <t>Accurate</t>
        </is>
      </c>
      <c r="O71" t="inlineStr">
        <is>
          <t>No Variance</t>
        </is>
      </c>
      <c r="P71" t="inlineStr">
        <is>
          <t>Completed</t>
        </is>
      </c>
      <c r="Q71" s="17" t="n">
        <v>46226</v>
      </c>
    </row>
    <row r="72">
      <c r="A72" t="inlineStr">
        <is>
          <t>SKU-0071</t>
        </is>
      </c>
      <c r="B72" t="inlineStr">
        <is>
          <t>Fastener Kit</t>
        </is>
      </c>
      <c r="C72" t="inlineStr">
        <is>
          <t>Mechanical</t>
        </is>
      </c>
      <c r="D72" t="inlineStr">
        <is>
          <t>WH-A01</t>
        </is>
      </c>
      <c r="E72" t="n">
        <v>306</v>
      </c>
      <c r="F72" t="n">
        <v>306</v>
      </c>
      <c r="G72" s="16" t="n">
        <v>270.67</v>
      </c>
      <c r="H72" s="16" t="n">
        <v>82825.02</v>
      </c>
      <c r="I72" s="16" t="n">
        <v>82825.02</v>
      </c>
      <c r="J72" t="n">
        <v>0</v>
      </c>
      <c r="K72" t="n">
        <v>0</v>
      </c>
      <c r="L72" s="12" t="n">
        <v>1</v>
      </c>
      <c r="M72" t="n">
        <v>178</v>
      </c>
      <c r="N72" t="inlineStr">
        <is>
          <t>Accurate</t>
        </is>
      </c>
      <c r="O72" t="inlineStr">
        <is>
          <t>No Variance</t>
        </is>
      </c>
      <c r="P72" t="inlineStr">
        <is>
          <t>Pending</t>
        </is>
      </c>
      <c r="Q72" s="17" t="n">
        <v>46128</v>
      </c>
    </row>
    <row r="73">
      <c r="A73" t="inlineStr">
        <is>
          <t>SKU-0072</t>
        </is>
      </c>
      <c r="B73" t="inlineStr">
        <is>
          <t>Bearing</t>
        </is>
      </c>
      <c r="C73" t="inlineStr">
        <is>
          <t>Mechanical</t>
        </is>
      </c>
      <c r="D73" t="inlineStr">
        <is>
          <t>WH-C01</t>
        </is>
      </c>
      <c r="E73" t="n">
        <v>363</v>
      </c>
      <c r="F73" t="n">
        <v>362</v>
      </c>
      <c r="G73" s="16" t="n">
        <v>93.8</v>
      </c>
      <c r="H73" s="16" t="n">
        <v>34049.4</v>
      </c>
      <c r="I73" s="16" t="n">
        <v>33955.6</v>
      </c>
      <c r="J73" t="n">
        <v>-1</v>
      </c>
      <c r="K73" t="n">
        <v>1</v>
      </c>
      <c r="L73" s="12" t="n">
        <v>0.9972</v>
      </c>
      <c r="M73" t="n">
        <v>82</v>
      </c>
      <c r="N73" t="inlineStr">
        <is>
          <t>Shortage</t>
        </is>
      </c>
      <c r="O73" t="inlineStr">
        <is>
          <t>Unidentified Movement</t>
        </is>
      </c>
      <c r="P73" t="inlineStr">
        <is>
          <t>Completed</t>
        </is>
      </c>
      <c r="Q73" s="17" t="n">
        <v>46230</v>
      </c>
    </row>
    <row r="74">
      <c r="A74" t="inlineStr">
        <is>
          <t>SKU-0073</t>
        </is>
      </c>
      <c r="B74" t="inlineStr">
        <is>
          <t>Gloves</t>
        </is>
      </c>
      <c r="C74" t="inlineStr">
        <is>
          <t>Safety</t>
        </is>
      </c>
      <c r="D74" t="inlineStr">
        <is>
          <t>WH-B01</t>
        </is>
      </c>
      <c r="E74" t="n">
        <v>282</v>
      </c>
      <c r="F74" t="n">
        <v>282</v>
      </c>
      <c r="G74" s="16" t="n">
        <v>320.02</v>
      </c>
      <c r="H74" s="16" t="n">
        <v>90245.64</v>
      </c>
      <c r="I74" s="16" t="n">
        <v>90245.64</v>
      </c>
      <c r="J74" t="n">
        <v>0</v>
      </c>
      <c r="K74" t="n">
        <v>0</v>
      </c>
      <c r="L74" s="12" t="n">
        <v>1</v>
      </c>
      <c r="M74" t="n">
        <v>134</v>
      </c>
      <c r="N74" t="inlineStr">
        <is>
          <t>Accurate</t>
        </is>
      </c>
      <c r="O74" t="inlineStr">
        <is>
          <t>No Variance</t>
        </is>
      </c>
      <c r="P74" t="inlineStr">
        <is>
          <t>Completed</t>
        </is>
      </c>
      <c r="Q74" s="17" t="n">
        <v>46030</v>
      </c>
    </row>
    <row r="75">
      <c r="A75" t="inlineStr">
        <is>
          <t>SKU-0074</t>
        </is>
      </c>
      <c r="B75" t="inlineStr">
        <is>
          <t>Gauge</t>
        </is>
      </c>
      <c r="C75" t="inlineStr">
        <is>
          <t>Tools</t>
        </is>
      </c>
      <c r="D75" t="inlineStr">
        <is>
          <t>WH-A01</t>
        </is>
      </c>
      <c r="E75" t="n">
        <v>231</v>
      </c>
      <c r="F75" t="n">
        <v>256</v>
      </c>
      <c r="G75" s="16" t="n">
        <v>603.55</v>
      </c>
      <c r="H75" s="16" t="n">
        <v>139420.05</v>
      </c>
      <c r="I75" s="16" t="n">
        <v>154508.8</v>
      </c>
      <c r="J75" t="n">
        <v>25</v>
      </c>
      <c r="K75" t="n">
        <v>25</v>
      </c>
      <c r="L75" s="12" t="n">
        <v>0.8918</v>
      </c>
      <c r="M75" t="n">
        <v>116</v>
      </c>
      <c r="N75" t="inlineStr">
        <is>
          <t>Excess</t>
        </is>
      </c>
      <c r="O75" t="inlineStr">
        <is>
          <t>Location Error</t>
        </is>
      </c>
      <c r="P75" t="inlineStr">
        <is>
          <t>Completed</t>
        </is>
      </c>
      <c r="Q75" s="17" t="n">
        <v>46184</v>
      </c>
    </row>
    <row r="76">
      <c r="A76" t="inlineStr">
        <is>
          <t>SKU-0075</t>
        </is>
      </c>
      <c r="B76" t="inlineStr">
        <is>
          <t>Safety Vest</t>
        </is>
      </c>
      <c r="C76" t="inlineStr">
        <is>
          <t>Safety</t>
        </is>
      </c>
      <c r="D76" t="inlineStr">
        <is>
          <t>WH-B02</t>
        </is>
      </c>
      <c r="E76" t="n">
        <v>233</v>
      </c>
      <c r="F76" t="n">
        <v>234</v>
      </c>
      <c r="G76" s="16" t="n">
        <v>279.38</v>
      </c>
      <c r="H76" s="16" t="n">
        <v>65095.54</v>
      </c>
      <c r="I76" s="16" t="n">
        <v>65374.92</v>
      </c>
      <c r="J76" t="n">
        <v>1</v>
      </c>
      <c r="K76" t="n">
        <v>1</v>
      </c>
      <c r="L76" s="12" t="n">
        <v>0.9957</v>
      </c>
      <c r="M76" t="n">
        <v>67</v>
      </c>
      <c r="N76" t="inlineStr">
        <is>
          <t>Excess</t>
        </is>
      </c>
      <c r="O76" t="inlineStr">
        <is>
          <t>Counting Error</t>
        </is>
      </c>
      <c r="P76" t="inlineStr">
        <is>
          <t>Completed</t>
        </is>
      </c>
      <c r="Q76" s="17" t="n">
        <v>46252</v>
      </c>
    </row>
    <row r="77">
      <c r="A77" t="inlineStr">
        <is>
          <t>SKU-0076</t>
        </is>
      </c>
      <c r="B77" t="inlineStr">
        <is>
          <t>Caliper</t>
        </is>
      </c>
      <c r="C77" t="inlineStr">
        <is>
          <t>Tools</t>
        </is>
      </c>
      <c r="D77" t="inlineStr">
        <is>
          <t>WH-B02</t>
        </is>
      </c>
      <c r="E77" t="n">
        <v>301</v>
      </c>
      <c r="F77" t="n">
        <v>301</v>
      </c>
      <c r="G77" s="16" t="n">
        <v>327.11</v>
      </c>
      <c r="H77" s="16" t="n">
        <v>98460.11</v>
      </c>
      <c r="I77" s="16" t="n">
        <v>98460.11</v>
      </c>
      <c r="J77" t="n">
        <v>0</v>
      </c>
      <c r="K77" t="n">
        <v>0</v>
      </c>
      <c r="L77" s="12" t="n">
        <v>1</v>
      </c>
      <c r="M77" t="n">
        <v>12</v>
      </c>
      <c r="N77" t="inlineStr">
        <is>
          <t>Accurate</t>
        </is>
      </c>
      <c r="O77" t="inlineStr">
        <is>
          <t>No Variance</t>
        </is>
      </c>
      <c r="P77" t="inlineStr">
        <is>
          <t>Pending</t>
        </is>
      </c>
      <c r="Q77" s="17" t="n">
        <v>46244</v>
      </c>
    </row>
    <row r="78">
      <c r="A78" t="inlineStr">
        <is>
          <t>SKU-0077</t>
        </is>
      </c>
      <c r="B78" t="inlineStr">
        <is>
          <t>Adhesive</t>
        </is>
      </c>
      <c r="C78" t="inlineStr">
        <is>
          <t>Consumables</t>
        </is>
      </c>
      <c r="D78" t="inlineStr">
        <is>
          <t>WH-B02</t>
        </is>
      </c>
      <c r="E78" t="n">
        <v>118</v>
      </c>
      <c r="F78" t="n">
        <v>118</v>
      </c>
      <c r="G78" s="16" t="n">
        <v>225.53</v>
      </c>
      <c r="H78" s="16" t="n">
        <v>26612.54</v>
      </c>
      <c r="I78" s="16" t="n">
        <v>26612.54</v>
      </c>
      <c r="J78" t="n">
        <v>0</v>
      </c>
      <c r="K78" t="n">
        <v>0</v>
      </c>
      <c r="L78" s="12" t="n">
        <v>1</v>
      </c>
      <c r="M78" t="n">
        <v>76</v>
      </c>
      <c r="N78" t="inlineStr">
        <is>
          <t>Accurate</t>
        </is>
      </c>
      <c r="O78" t="inlineStr">
        <is>
          <t>No Variance</t>
        </is>
      </c>
      <c r="P78" t="inlineStr">
        <is>
          <t>Completed</t>
        </is>
      </c>
      <c r="Q78" s="17" t="n">
        <v>46169</v>
      </c>
    </row>
    <row r="79">
      <c r="A79" t="inlineStr">
        <is>
          <t>SKU-0078</t>
        </is>
      </c>
      <c r="B79" t="inlineStr">
        <is>
          <t>Terminal Block</t>
        </is>
      </c>
      <c r="C79" t="inlineStr">
        <is>
          <t>Electrical</t>
        </is>
      </c>
      <c r="D79" t="inlineStr">
        <is>
          <t>WH-A02</t>
        </is>
      </c>
      <c r="E79" t="n">
        <v>53</v>
      </c>
      <c r="F79" t="n">
        <v>53</v>
      </c>
      <c r="G79" s="16" t="n">
        <v>350.21</v>
      </c>
      <c r="H79" s="16" t="n">
        <v>18561.13</v>
      </c>
      <c r="I79" s="16" t="n">
        <v>18561.13</v>
      </c>
      <c r="J79" t="n">
        <v>0</v>
      </c>
      <c r="K79" t="n">
        <v>0</v>
      </c>
      <c r="L79" s="12" t="n">
        <v>1</v>
      </c>
      <c r="M79" t="n">
        <v>147</v>
      </c>
      <c r="N79" t="inlineStr">
        <is>
          <t>Accurate</t>
        </is>
      </c>
      <c r="O79" t="inlineStr">
        <is>
          <t>No Variance</t>
        </is>
      </c>
      <c r="P79" t="inlineStr">
        <is>
          <t>Completed</t>
        </is>
      </c>
      <c r="Q79" s="17" t="n">
        <v>46203</v>
      </c>
    </row>
    <row r="80">
      <c r="A80" t="inlineStr">
        <is>
          <t>SKU-0079</t>
        </is>
      </c>
      <c r="B80" t="inlineStr">
        <is>
          <t>Gauge</t>
        </is>
      </c>
      <c r="C80" t="inlineStr">
        <is>
          <t>Tools</t>
        </is>
      </c>
      <c r="D80" t="inlineStr">
        <is>
          <t>WH-B02</t>
        </is>
      </c>
      <c r="E80" t="n">
        <v>415</v>
      </c>
      <c r="F80" t="n">
        <v>415</v>
      </c>
      <c r="G80" s="16" t="n">
        <v>255.75</v>
      </c>
      <c r="H80" s="16" t="n">
        <v>106136.25</v>
      </c>
      <c r="I80" s="16" t="n">
        <v>106136.25</v>
      </c>
      <c r="J80" t="n">
        <v>0</v>
      </c>
      <c r="K80" t="n">
        <v>0</v>
      </c>
      <c r="L80" s="12" t="n">
        <v>1</v>
      </c>
      <c r="M80" t="n">
        <v>108</v>
      </c>
      <c r="N80" t="inlineStr">
        <is>
          <t>Accurate</t>
        </is>
      </c>
      <c r="O80" t="inlineStr">
        <is>
          <t>No Variance</t>
        </is>
      </c>
      <c r="P80" t="inlineStr">
        <is>
          <t>Completed</t>
        </is>
      </c>
      <c r="Q80" s="17" t="n">
        <v>46105</v>
      </c>
    </row>
    <row r="81">
      <c r="A81" t="inlineStr">
        <is>
          <t>SKU-0080</t>
        </is>
      </c>
      <c r="B81" t="inlineStr">
        <is>
          <t>Ear Protection</t>
        </is>
      </c>
      <c r="C81" t="inlineStr">
        <is>
          <t>Safety</t>
        </is>
      </c>
      <c r="D81" t="inlineStr">
        <is>
          <t>WH-B02</t>
        </is>
      </c>
      <c r="E81" t="n">
        <v>293</v>
      </c>
      <c r="F81" t="n">
        <v>293</v>
      </c>
      <c r="G81" s="16" t="n">
        <v>366.27</v>
      </c>
      <c r="H81" s="16" t="n">
        <v>107317.11</v>
      </c>
      <c r="I81" s="16" t="n">
        <v>107317.11</v>
      </c>
      <c r="J81" t="n">
        <v>0</v>
      </c>
      <c r="K81" t="n">
        <v>0</v>
      </c>
      <c r="L81" s="12" t="n">
        <v>1</v>
      </c>
      <c r="M81" t="n">
        <v>145</v>
      </c>
      <c r="N81" t="inlineStr">
        <is>
          <t>Accurate</t>
        </is>
      </c>
      <c r="O81" t="inlineStr">
        <is>
          <t>No Variance</t>
        </is>
      </c>
      <c r="P81" t="inlineStr">
        <is>
          <t>Completed</t>
        </is>
      </c>
      <c r="Q81" s="17" t="n">
        <v>46117</v>
      </c>
    </row>
    <row r="82">
      <c r="A82" t="inlineStr">
        <is>
          <t>SKU-0081</t>
        </is>
      </c>
      <c r="B82" t="inlineStr">
        <is>
          <t>Hand Tool Set</t>
        </is>
      </c>
      <c r="C82" t="inlineStr">
        <is>
          <t>Tools</t>
        </is>
      </c>
      <c r="D82" t="inlineStr">
        <is>
          <t>WH-B01</t>
        </is>
      </c>
      <c r="E82" t="n">
        <v>138</v>
      </c>
      <c r="F82" t="n">
        <v>138</v>
      </c>
      <c r="G82" s="16" t="n">
        <v>615.3200000000001</v>
      </c>
      <c r="H82" s="16" t="n">
        <v>84914.16</v>
      </c>
      <c r="I82" s="16" t="n">
        <v>84914.16</v>
      </c>
      <c r="J82" t="n">
        <v>0</v>
      </c>
      <c r="K82" t="n">
        <v>0</v>
      </c>
      <c r="L82" s="12" t="n">
        <v>1</v>
      </c>
      <c r="M82" t="n">
        <v>85</v>
      </c>
      <c r="N82" t="inlineStr">
        <is>
          <t>Accurate</t>
        </is>
      </c>
      <c r="O82" t="inlineStr">
        <is>
          <t>No Variance</t>
        </is>
      </c>
      <c r="P82" t="inlineStr">
        <is>
          <t>Completed</t>
        </is>
      </c>
      <c r="Q82" s="17" t="n">
        <v>46217</v>
      </c>
    </row>
    <row r="83">
      <c r="A83" t="inlineStr">
        <is>
          <t>SKU-0082</t>
        </is>
      </c>
      <c r="B83" t="inlineStr">
        <is>
          <t>Safety Glasses</t>
        </is>
      </c>
      <c r="C83" t="inlineStr">
        <is>
          <t>Safety</t>
        </is>
      </c>
      <c r="D83" t="inlineStr">
        <is>
          <t>WH-A02</t>
        </is>
      </c>
      <c r="E83" t="n">
        <v>120</v>
      </c>
      <c r="F83" t="n">
        <v>121</v>
      </c>
      <c r="G83" s="16" t="n">
        <v>618.1</v>
      </c>
      <c r="H83" s="16" t="n">
        <v>74172</v>
      </c>
      <c r="I83" s="16" t="n">
        <v>74790.10000000001</v>
      </c>
      <c r="J83" t="n">
        <v>1</v>
      </c>
      <c r="K83" t="n">
        <v>1</v>
      </c>
      <c r="L83" s="12" t="n">
        <v>0.9917</v>
      </c>
      <c r="M83" t="n">
        <v>139</v>
      </c>
      <c r="N83" t="inlineStr">
        <is>
          <t>Excess</t>
        </is>
      </c>
      <c r="O83" t="inlineStr">
        <is>
          <t>Unidentified Movement</t>
        </is>
      </c>
      <c r="P83" t="inlineStr">
        <is>
          <t>Completed</t>
        </is>
      </c>
      <c r="Q83" s="17" t="n">
        <v>46052</v>
      </c>
    </row>
    <row r="84">
      <c r="A84" t="inlineStr">
        <is>
          <t>SKU-0083</t>
        </is>
      </c>
      <c r="B84" t="inlineStr">
        <is>
          <t>Fastener Kit</t>
        </is>
      </c>
      <c r="C84" t="inlineStr">
        <is>
          <t>Mechanical</t>
        </is>
      </c>
      <c r="D84" t="inlineStr">
        <is>
          <t>WH-A02</t>
        </is>
      </c>
      <c r="E84" t="n">
        <v>194</v>
      </c>
      <c r="F84" t="n">
        <v>194</v>
      </c>
      <c r="G84" s="16" t="n">
        <v>19.91</v>
      </c>
      <c r="H84" s="16" t="n">
        <v>3862.54</v>
      </c>
      <c r="I84" s="16" t="n">
        <v>3862.54</v>
      </c>
      <c r="J84" t="n">
        <v>0</v>
      </c>
      <c r="K84" t="n">
        <v>0</v>
      </c>
      <c r="L84" s="12" t="n">
        <v>1</v>
      </c>
      <c r="M84" t="n">
        <v>141</v>
      </c>
      <c r="N84" t="inlineStr">
        <is>
          <t>Accurate</t>
        </is>
      </c>
      <c r="O84" t="inlineStr">
        <is>
          <t>No Variance</t>
        </is>
      </c>
      <c r="P84" t="inlineStr">
        <is>
          <t>Completed</t>
        </is>
      </c>
      <c r="Q84" s="17" t="n">
        <v>46097</v>
      </c>
    </row>
    <row r="85">
      <c r="A85" t="inlineStr">
        <is>
          <t>SKU-0084</t>
        </is>
      </c>
      <c r="B85" t="inlineStr">
        <is>
          <t>Connector</t>
        </is>
      </c>
      <c r="C85" t="inlineStr">
        <is>
          <t>Electrical</t>
        </is>
      </c>
      <c r="D85" t="inlineStr">
        <is>
          <t>WH-C01</t>
        </is>
      </c>
      <c r="E85" t="n">
        <v>159</v>
      </c>
      <c r="F85" t="n">
        <v>159</v>
      </c>
      <c r="G85" s="16" t="n">
        <v>114.33</v>
      </c>
      <c r="H85" s="16" t="n">
        <v>18178.47</v>
      </c>
      <c r="I85" s="16" t="n">
        <v>18178.47</v>
      </c>
      <c r="J85" t="n">
        <v>0</v>
      </c>
      <c r="K85" t="n">
        <v>0</v>
      </c>
      <c r="L85" s="12" t="n">
        <v>1</v>
      </c>
      <c r="M85" t="n">
        <v>130</v>
      </c>
      <c r="N85" t="inlineStr">
        <is>
          <t>Accurate</t>
        </is>
      </c>
      <c r="O85" t="inlineStr">
        <is>
          <t>No Variance</t>
        </is>
      </c>
      <c r="P85" t="inlineStr">
        <is>
          <t>Completed</t>
        </is>
      </c>
      <c r="Q85" s="17" t="n">
        <v>46250</v>
      </c>
    </row>
    <row r="86">
      <c r="A86" t="inlineStr">
        <is>
          <t>SKU-0085</t>
        </is>
      </c>
      <c r="B86" t="inlineStr">
        <is>
          <t>Terminal Block</t>
        </is>
      </c>
      <c r="C86" t="inlineStr">
        <is>
          <t>Electrical</t>
        </is>
      </c>
      <c r="D86" t="inlineStr">
        <is>
          <t>WH-B01</t>
        </is>
      </c>
      <c r="E86" t="n">
        <v>250</v>
      </c>
      <c r="F86" t="n">
        <v>250</v>
      </c>
      <c r="G86" s="16" t="n">
        <v>294.87</v>
      </c>
      <c r="H86" s="16" t="n">
        <v>73717.5</v>
      </c>
      <c r="I86" s="16" t="n">
        <v>73717.5</v>
      </c>
      <c r="J86" t="n">
        <v>0</v>
      </c>
      <c r="K86" t="n">
        <v>0</v>
      </c>
      <c r="L86" s="12" t="n">
        <v>1</v>
      </c>
      <c r="M86" t="n">
        <v>18</v>
      </c>
      <c r="N86" t="inlineStr">
        <is>
          <t>Accurate</t>
        </is>
      </c>
      <c r="O86" t="inlineStr">
        <is>
          <t>No Variance</t>
        </is>
      </c>
      <c r="P86" t="inlineStr">
        <is>
          <t>Completed</t>
        </is>
      </c>
      <c r="Q86" s="17" t="n">
        <v>46247</v>
      </c>
    </row>
    <row r="87">
      <c r="A87" t="inlineStr">
        <is>
          <t>SKU-0086</t>
        </is>
      </c>
      <c r="B87" t="inlineStr">
        <is>
          <t>Torque Wrench</t>
        </is>
      </c>
      <c r="C87" t="inlineStr">
        <is>
          <t>Tools</t>
        </is>
      </c>
      <c r="D87" t="inlineStr">
        <is>
          <t>WH-A01</t>
        </is>
      </c>
      <c r="E87" t="n">
        <v>215</v>
      </c>
      <c r="F87" t="n">
        <v>215</v>
      </c>
      <c r="G87" s="16" t="n">
        <v>493.85</v>
      </c>
      <c r="H87" s="16" t="n">
        <v>106177.75</v>
      </c>
      <c r="I87" s="16" t="n">
        <v>106177.75</v>
      </c>
      <c r="J87" t="n">
        <v>0</v>
      </c>
      <c r="K87" t="n">
        <v>0</v>
      </c>
      <c r="L87" s="12" t="n">
        <v>1</v>
      </c>
      <c r="M87" t="n">
        <v>180</v>
      </c>
      <c r="N87" t="inlineStr">
        <is>
          <t>Accurate</t>
        </is>
      </c>
      <c r="O87" t="inlineStr">
        <is>
          <t>No Variance</t>
        </is>
      </c>
      <c r="P87" t="inlineStr">
        <is>
          <t>Completed</t>
        </is>
      </c>
      <c r="Q87" s="17" t="n">
        <v>46065</v>
      </c>
    </row>
    <row r="88">
      <c r="A88" t="inlineStr">
        <is>
          <t>SKU-0087</t>
        </is>
      </c>
      <c r="B88" t="inlineStr">
        <is>
          <t>Gear</t>
        </is>
      </c>
      <c r="C88" t="inlineStr">
        <is>
          <t>Mechanical</t>
        </is>
      </c>
      <c r="D88" t="inlineStr">
        <is>
          <t>WH-B01</t>
        </is>
      </c>
      <c r="E88" t="n">
        <v>53</v>
      </c>
      <c r="F88" t="n">
        <v>28</v>
      </c>
      <c r="G88" s="16" t="n">
        <v>477.9</v>
      </c>
      <c r="H88" s="16" t="n">
        <v>25328.7</v>
      </c>
      <c r="I88" s="16" t="n">
        <v>13381.2</v>
      </c>
      <c r="J88" t="n">
        <v>-25</v>
      </c>
      <c r="K88" t="n">
        <v>25</v>
      </c>
      <c r="L88" s="12" t="n">
        <v>0.5283</v>
      </c>
      <c r="M88" t="n">
        <v>111</v>
      </c>
      <c r="N88" t="inlineStr">
        <is>
          <t>Shortage</t>
        </is>
      </c>
      <c r="O88" t="inlineStr">
        <is>
          <t>Unidentified Movement</t>
        </is>
      </c>
      <c r="P88" t="inlineStr">
        <is>
          <t>Completed</t>
        </is>
      </c>
      <c r="Q88" s="17" t="n">
        <v>46225</v>
      </c>
    </row>
    <row r="89">
      <c r="A89" t="inlineStr">
        <is>
          <t>SKU-0088</t>
        </is>
      </c>
      <c r="B89" t="inlineStr">
        <is>
          <t>Safety Vest</t>
        </is>
      </c>
      <c r="C89" t="inlineStr">
        <is>
          <t>Safety</t>
        </is>
      </c>
      <c r="D89" t="inlineStr">
        <is>
          <t>WH-B02</t>
        </is>
      </c>
      <c r="E89" t="n">
        <v>475</v>
      </c>
      <c r="F89" t="n">
        <v>475</v>
      </c>
      <c r="G89" s="16" t="n">
        <v>732.26</v>
      </c>
      <c r="H89" s="16" t="n">
        <v>347823.5</v>
      </c>
      <c r="I89" s="16" t="n">
        <v>347823.5</v>
      </c>
      <c r="J89" t="n">
        <v>0</v>
      </c>
      <c r="K89" t="n">
        <v>0</v>
      </c>
      <c r="L89" s="12" t="n">
        <v>1</v>
      </c>
      <c r="M89" t="n">
        <v>114</v>
      </c>
      <c r="N89" t="inlineStr">
        <is>
          <t>Accurate</t>
        </is>
      </c>
      <c r="O89" t="inlineStr">
        <is>
          <t>No Variance</t>
        </is>
      </c>
      <c r="P89" t="inlineStr">
        <is>
          <t>Completed</t>
        </is>
      </c>
      <c r="Q89" s="17" t="n">
        <v>46172</v>
      </c>
    </row>
    <row r="90">
      <c r="A90" t="inlineStr">
        <is>
          <t>SKU-0089</t>
        </is>
      </c>
      <c r="B90" t="inlineStr">
        <is>
          <t>Gloves</t>
        </is>
      </c>
      <c r="C90" t="inlineStr">
        <is>
          <t>Safety</t>
        </is>
      </c>
      <c r="D90" t="inlineStr">
        <is>
          <t>WH-C01</t>
        </is>
      </c>
      <c r="E90" t="n">
        <v>388</v>
      </c>
      <c r="F90" t="n">
        <v>388</v>
      </c>
      <c r="G90" s="16" t="n">
        <v>650.22</v>
      </c>
      <c r="H90" s="16" t="n">
        <v>252285.36</v>
      </c>
      <c r="I90" s="16" t="n">
        <v>252285.36</v>
      </c>
      <c r="J90" t="n">
        <v>0</v>
      </c>
      <c r="K90" t="n">
        <v>0</v>
      </c>
      <c r="L90" s="12" t="n">
        <v>1</v>
      </c>
      <c r="M90" t="n">
        <v>165</v>
      </c>
      <c r="N90" t="inlineStr">
        <is>
          <t>Accurate</t>
        </is>
      </c>
      <c r="O90" t="inlineStr">
        <is>
          <t>No Variance</t>
        </is>
      </c>
      <c r="P90" t="inlineStr">
        <is>
          <t>Completed</t>
        </is>
      </c>
      <c r="Q90" s="17" t="n">
        <v>46094</v>
      </c>
    </row>
    <row r="91">
      <c r="A91" t="inlineStr">
        <is>
          <t>SKU-0090</t>
        </is>
      </c>
      <c r="B91" t="inlineStr">
        <is>
          <t>Cable Assembly</t>
        </is>
      </c>
      <c r="C91" t="inlineStr">
        <is>
          <t>Electrical</t>
        </is>
      </c>
      <c r="D91" t="inlineStr">
        <is>
          <t>WH-A02</t>
        </is>
      </c>
      <c r="E91" t="n">
        <v>98</v>
      </c>
      <c r="F91" t="n">
        <v>98</v>
      </c>
      <c r="G91" s="16" t="n">
        <v>139.8</v>
      </c>
      <c r="H91" s="16" t="n">
        <v>13700.4</v>
      </c>
      <c r="I91" s="16" t="n">
        <v>13700.4</v>
      </c>
      <c r="J91" t="n">
        <v>0</v>
      </c>
      <c r="K91" t="n">
        <v>0</v>
      </c>
      <c r="L91" s="12" t="n">
        <v>1</v>
      </c>
      <c r="M91" t="n">
        <v>109</v>
      </c>
      <c r="N91" t="inlineStr">
        <is>
          <t>Accurate</t>
        </is>
      </c>
      <c r="O91" t="inlineStr">
        <is>
          <t>No Variance</t>
        </is>
      </c>
      <c r="P91" t="inlineStr">
        <is>
          <t>Pending</t>
        </is>
      </c>
      <c r="Q91" s="17" t="n">
        <v>46203</v>
      </c>
    </row>
    <row r="92">
      <c r="A92" t="inlineStr">
        <is>
          <t>SKU-0091</t>
        </is>
      </c>
      <c r="B92" t="inlineStr">
        <is>
          <t>Safety Vest</t>
        </is>
      </c>
      <c r="C92" t="inlineStr">
        <is>
          <t>Safety</t>
        </is>
      </c>
      <c r="D92" t="inlineStr">
        <is>
          <t>WH-B01</t>
        </is>
      </c>
      <c r="E92" t="n">
        <v>26</v>
      </c>
      <c r="F92" t="n">
        <v>26</v>
      </c>
      <c r="G92" s="16" t="n">
        <v>603.26</v>
      </c>
      <c r="H92" s="16" t="n">
        <v>15684.76</v>
      </c>
      <c r="I92" s="16" t="n">
        <v>15684.76</v>
      </c>
      <c r="J92" t="n">
        <v>0</v>
      </c>
      <c r="K92" t="n">
        <v>0</v>
      </c>
      <c r="L92" s="12" t="n">
        <v>1</v>
      </c>
      <c r="M92" t="n">
        <v>121</v>
      </c>
      <c r="N92" t="inlineStr">
        <is>
          <t>Accurate</t>
        </is>
      </c>
      <c r="O92" t="inlineStr">
        <is>
          <t>No Variance</t>
        </is>
      </c>
      <c r="P92" t="inlineStr">
        <is>
          <t>Completed</t>
        </is>
      </c>
      <c r="Q92" s="17" t="n">
        <v>46202</v>
      </c>
    </row>
    <row r="93">
      <c r="A93" t="inlineStr">
        <is>
          <t>SKU-0092</t>
        </is>
      </c>
      <c r="B93" t="inlineStr">
        <is>
          <t>Fastener Kit</t>
        </is>
      </c>
      <c r="C93" t="inlineStr">
        <is>
          <t>Mechanical</t>
        </is>
      </c>
      <c r="D93" t="inlineStr">
        <is>
          <t>WH-C02</t>
        </is>
      </c>
      <c r="E93" t="n">
        <v>311</v>
      </c>
      <c r="F93" t="n">
        <v>311</v>
      </c>
      <c r="G93" s="16" t="n">
        <v>794.15</v>
      </c>
      <c r="H93" s="16" t="n">
        <v>246980.65</v>
      </c>
      <c r="I93" s="16" t="n">
        <v>246980.65</v>
      </c>
      <c r="J93" t="n">
        <v>0</v>
      </c>
      <c r="K93" t="n">
        <v>0</v>
      </c>
      <c r="L93" s="12" t="n">
        <v>1</v>
      </c>
      <c r="M93" t="n">
        <v>113</v>
      </c>
      <c r="N93" t="inlineStr">
        <is>
          <t>Accurate</t>
        </is>
      </c>
      <c r="O93" t="inlineStr">
        <is>
          <t>No Variance</t>
        </is>
      </c>
      <c r="P93" t="inlineStr">
        <is>
          <t>Completed</t>
        </is>
      </c>
      <c r="Q93" s="17" t="n">
        <v>46166</v>
      </c>
    </row>
    <row r="94">
      <c r="A94" t="inlineStr">
        <is>
          <t>SKU-0093</t>
        </is>
      </c>
      <c r="B94" t="inlineStr">
        <is>
          <t>Bracket</t>
        </is>
      </c>
      <c r="C94" t="inlineStr">
        <is>
          <t>Mechanical</t>
        </is>
      </c>
      <c r="D94" t="inlineStr">
        <is>
          <t>WH-B01</t>
        </is>
      </c>
      <c r="E94" t="n">
        <v>433</v>
      </c>
      <c r="F94" t="n">
        <v>433</v>
      </c>
      <c r="G94" s="16" t="n">
        <v>58.22</v>
      </c>
      <c r="H94" s="16" t="n">
        <v>25209.26</v>
      </c>
      <c r="I94" s="16" t="n">
        <v>25209.26</v>
      </c>
      <c r="J94" t="n">
        <v>0</v>
      </c>
      <c r="K94" t="n">
        <v>0</v>
      </c>
      <c r="L94" s="12" t="n">
        <v>1</v>
      </c>
      <c r="M94" t="n">
        <v>83</v>
      </c>
      <c r="N94" t="inlineStr">
        <is>
          <t>Accurate</t>
        </is>
      </c>
      <c r="O94" t="inlineStr">
        <is>
          <t>No Variance</t>
        </is>
      </c>
      <c r="P94" t="inlineStr">
        <is>
          <t>Completed</t>
        </is>
      </c>
      <c r="Q94" s="17" t="n">
        <v>46139</v>
      </c>
    </row>
    <row r="95">
      <c r="A95" t="inlineStr">
        <is>
          <t>SKU-0094</t>
        </is>
      </c>
      <c r="B95" t="inlineStr">
        <is>
          <t>Sensor</t>
        </is>
      </c>
      <c r="C95" t="inlineStr">
        <is>
          <t>Electrical</t>
        </is>
      </c>
      <c r="D95" t="inlineStr">
        <is>
          <t>WH-C02</t>
        </is>
      </c>
      <c r="E95" t="n">
        <v>165</v>
      </c>
      <c r="F95" t="n">
        <v>165</v>
      </c>
      <c r="G95" s="16" t="n">
        <v>801.73</v>
      </c>
      <c r="H95" s="16" t="n">
        <v>132285.45</v>
      </c>
      <c r="I95" s="16" t="n">
        <v>132285.45</v>
      </c>
      <c r="J95" t="n">
        <v>0</v>
      </c>
      <c r="K95" t="n">
        <v>0</v>
      </c>
      <c r="L95" s="12" t="n">
        <v>1</v>
      </c>
      <c r="M95" t="n">
        <v>133</v>
      </c>
      <c r="N95" t="inlineStr">
        <is>
          <t>Accurate</t>
        </is>
      </c>
      <c r="O95" t="inlineStr">
        <is>
          <t>No Variance</t>
        </is>
      </c>
      <c r="P95" t="inlineStr">
        <is>
          <t>Pending</t>
        </is>
      </c>
      <c r="Q95" s="17" t="n">
        <v>46139</v>
      </c>
    </row>
    <row r="96">
      <c r="A96" t="inlineStr">
        <is>
          <t>SKU-0095</t>
        </is>
      </c>
      <c r="B96" t="inlineStr">
        <is>
          <t>Terminal Block</t>
        </is>
      </c>
      <c r="C96" t="inlineStr">
        <is>
          <t>Electrical</t>
        </is>
      </c>
      <c r="D96" t="inlineStr">
        <is>
          <t>WH-A01</t>
        </is>
      </c>
      <c r="E96" t="n">
        <v>465</v>
      </c>
      <c r="F96" t="n">
        <v>465</v>
      </c>
      <c r="G96" s="16" t="n">
        <v>279.39</v>
      </c>
      <c r="H96" s="16" t="n">
        <v>129916.35</v>
      </c>
      <c r="I96" s="16" t="n">
        <v>129916.35</v>
      </c>
      <c r="J96" t="n">
        <v>0</v>
      </c>
      <c r="K96" t="n">
        <v>0</v>
      </c>
      <c r="L96" s="12" t="n">
        <v>1</v>
      </c>
      <c r="M96" t="n">
        <v>69</v>
      </c>
      <c r="N96" t="inlineStr">
        <is>
          <t>Accurate</t>
        </is>
      </c>
      <c r="O96" t="inlineStr">
        <is>
          <t>No Variance</t>
        </is>
      </c>
      <c r="P96" t="inlineStr">
        <is>
          <t>Completed</t>
        </is>
      </c>
      <c r="Q96" s="17" t="n">
        <v>46050</v>
      </c>
    </row>
    <row r="97">
      <c r="A97" t="inlineStr">
        <is>
          <t>SKU-0096</t>
        </is>
      </c>
      <c r="B97" t="inlineStr">
        <is>
          <t>Gear</t>
        </is>
      </c>
      <c r="C97" t="inlineStr">
        <is>
          <t>Mechanical</t>
        </is>
      </c>
      <c r="D97" t="inlineStr">
        <is>
          <t>WH-C01</t>
        </is>
      </c>
      <c r="E97" t="n">
        <v>496</v>
      </c>
      <c r="F97" t="n">
        <v>496</v>
      </c>
      <c r="G97" s="16" t="n">
        <v>651.9299999999999</v>
      </c>
      <c r="H97" s="16" t="n">
        <v>323357.28</v>
      </c>
      <c r="I97" s="16" t="n">
        <v>323357.28</v>
      </c>
      <c r="J97" t="n">
        <v>0</v>
      </c>
      <c r="K97" t="n">
        <v>0</v>
      </c>
      <c r="L97" s="12" t="n">
        <v>1</v>
      </c>
      <c r="M97" t="n">
        <v>73</v>
      </c>
      <c r="N97" t="inlineStr">
        <is>
          <t>Accurate</t>
        </is>
      </c>
      <c r="O97" t="inlineStr">
        <is>
          <t>No Variance</t>
        </is>
      </c>
      <c r="P97" t="inlineStr">
        <is>
          <t>Completed</t>
        </is>
      </c>
      <c r="Q97" s="17" t="n">
        <v>46222</v>
      </c>
    </row>
    <row r="98">
      <c r="A98" t="inlineStr">
        <is>
          <t>SKU-0097</t>
        </is>
      </c>
      <c r="B98" t="inlineStr">
        <is>
          <t>Seal</t>
        </is>
      </c>
      <c r="C98" t="inlineStr">
        <is>
          <t>Mechanical</t>
        </is>
      </c>
      <c r="D98" t="inlineStr">
        <is>
          <t>WH-C01</t>
        </is>
      </c>
      <c r="E98" t="n">
        <v>343</v>
      </c>
      <c r="F98" t="n">
        <v>343</v>
      </c>
      <c r="G98" s="16" t="n">
        <v>242.21</v>
      </c>
      <c r="H98" s="16" t="n">
        <v>83078.03</v>
      </c>
      <c r="I98" s="16" t="n">
        <v>83078.03</v>
      </c>
      <c r="J98" t="n">
        <v>0</v>
      </c>
      <c r="K98" t="n">
        <v>0</v>
      </c>
      <c r="L98" s="12" t="n">
        <v>1</v>
      </c>
      <c r="M98" t="n">
        <v>154</v>
      </c>
      <c r="N98" t="inlineStr">
        <is>
          <t>Accurate</t>
        </is>
      </c>
      <c r="O98" t="inlineStr">
        <is>
          <t>No Variance</t>
        </is>
      </c>
      <c r="P98" t="inlineStr">
        <is>
          <t>Pending</t>
        </is>
      </c>
      <c r="Q98" s="17" t="n">
        <v>46189</v>
      </c>
    </row>
    <row r="99">
      <c r="A99" t="inlineStr">
        <is>
          <t>SKU-0098</t>
        </is>
      </c>
      <c r="B99" t="inlineStr">
        <is>
          <t>Torque Wrench</t>
        </is>
      </c>
      <c r="C99" t="inlineStr">
        <is>
          <t>Tools</t>
        </is>
      </c>
      <c r="D99" t="inlineStr">
        <is>
          <t>WH-B02</t>
        </is>
      </c>
      <c r="E99" t="n">
        <v>188</v>
      </c>
      <c r="F99" t="n">
        <v>188</v>
      </c>
      <c r="G99" s="16" t="n">
        <v>278.33</v>
      </c>
      <c r="H99" s="16" t="n">
        <v>52326.04</v>
      </c>
      <c r="I99" s="16" t="n">
        <v>52326.04</v>
      </c>
      <c r="J99" t="n">
        <v>0</v>
      </c>
      <c r="K99" t="n">
        <v>0</v>
      </c>
      <c r="L99" s="12" t="n">
        <v>1</v>
      </c>
      <c r="M99" t="n">
        <v>31</v>
      </c>
      <c r="N99" t="inlineStr">
        <is>
          <t>Accurate</t>
        </is>
      </c>
      <c r="O99" t="inlineStr">
        <is>
          <t>No Variance</t>
        </is>
      </c>
      <c r="P99" t="inlineStr">
        <is>
          <t>Completed</t>
        </is>
      </c>
      <c r="Q99" s="17" t="n">
        <v>46111</v>
      </c>
    </row>
    <row r="100">
      <c r="A100" t="inlineStr">
        <is>
          <t>SKU-0099</t>
        </is>
      </c>
      <c r="B100" t="inlineStr">
        <is>
          <t>Gauge</t>
        </is>
      </c>
      <c r="C100" t="inlineStr">
        <is>
          <t>Tools</t>
        </is>
      </c>
      <c r="D100" t="inlineStr">
        <is>
          <t>WH-B01</t>
        </is>
      </c>
      <c r="E100" t="n">
        <v>349</v>
      </c>
      <c r="F100" t="n">
        <v>341</v>
      </c>
      <c r="G100" s="16" t="n">
        <v>390.96</v>
      </c>
      <c r="H100" s="16" t="n">
        <v>136445.04</v>
      </c>
      <c r="I100" s="16" t="n">
        <v>133317.36</v>
      </c>
      <c r="J100" t="n">
        <v>-8</v>
      </c>
      <c r="K100" t="n">
        <v>8</v>
      </c>
      <c r="L100" s="12" t="n">
        <v>0.9771</v>
      </c>
      <c r="M100" t="n">
        <v>85</v>
      </c>
      <c r="N100" t="inlineStr">
        <is>
          <t>Shortage</t>
        </is>
      </c>
      <c r="O100" t="inlineStr">
        <is>
          <t>Transaction Delay</t>
        </is>
      </c>
      <c r="P100" t="inlineStr">
        <is>
          <t>Completed</t>
        </is>
      </c>
      <c r="Q100" s="17" t="n">
        <v>46056</v>
      </c>
    </row>
    <row r="101">
      <c r="A101" t="inlineStr">
        <is>
          <t>SKU-0100</t>
        </is>
      </c>
      <c r="B101" t="inlineStr">
        <is>
          <t>Test Lead</t>
        </is>
      </c>
      <c r="C101" t="inlineStr">
        <is>
          <t>Tools</t>
        </is>
      </c>
      <c r="D101" t="inlineStr">
        <is>
          <t>WH-A01</t>
        </is>
      </c>
      <c r="E101" t="n">
        <v>346</v>
      </c>
      <c r="F101" t="n">
        <v>348</v>
      </c>
      <c r="G101" s="16" t="n">
        <v>355.95</v>
      </c>
      <c r="H101" s="16" t="n">
        <v>123158.7</v>
      </c>
      <c r="I101" s="16" t="n">
        <v>123870.6</v>
      </c>
      <c r="J101" t="n">
        <v>2</v>
      </c>
      <c r="K101" t="n">
        <v>2</v>
      </c>
      <c r="L101" s="12" t="n">
        <v>0.9942</v>
      </c>
      <c r="M101" t="n">
        <v>53</v>
      </c>
      <c r="N101" t="inlineStr">
        <is>
          <t>Excess</t>
        </is>
      </c>
      <c r="O101" t="inlineStr">
        <is>
          <t>Unidentified Movement</t>
        </is>
      </c>
      <c r="P101" t="inlineStr">
        <is>
          <t>Completed</t>
        </is>
      </c>
      <c r="Q101" s="17" t="n">
        <v>46186</v>
      </c>
    </row>
    <row r="102">
      <c r="A102" t="inlineStr">
        <is>
          <t>SKU-0101</t>
        </is>
      </c>
      <c r="B102" t="inlineStr">
        <is>
          <t>Gauge</t>
        </is>
      </c>
      <c r="C102" t="inlineStr">
        <is>
          <t>Tools</t>
        </is>
      </c>
      <c r="D102" t="inlineStr">
        <is>
          <t>WH-A01</t>
        </is>
      </c>
      <c r="E102" t="n">
        <v>114</v>
      </c>
      <c r="F102" t="n">
        <v>114</v>
      </c>
      <c r="G102" s="16" t="n">
        <v>118.31</v>
      </c>
      <c r="H102" s="16" t="n">
        <v>13487.34</v>
      </c>
      <c r="I102" s="16" t="n">
        <v>13487.34</v>
      </c>
      <c r="J102" t="n">
        <v>0</v>
      </c>
      <c r="K102" t="n">
        <v>0</v>
      </c>
      <c r="L102" s="12" t="n">
        <v>1</v>
      </c>
      <c r="M102" t="n">
        <v>78</v>
      </c>
      <c r="N102" t="inlineStr">
        <is>
          <t>Accurate</t>
        </is>
      </c>
      <c r="O102" t="inlineStr">
        <is>
          <t>No Variance</t>
        </is>
      </c>
      <c r="P102" t="inlineStr">
        <is>
          <t>Pending</t>
        </is>
      </c>
      <c r="Q102" s="17" t="n">
        <v>46252</v>
      </c>
    </row>
    <row r="103">
      <c r="A103" t="inlineStr">
        <is>
          <t>SKU-0102</t>
        </is>
      </c>
      <c r="B103" t="inlineStr">
        <is>
          <t>Torque Wrench</t>
        </is>
      </c>
      <c r="C103" t="inlineStr">
        <is>
          <t>Tools</t>
        </is>
      </c>
      <c r="D103" t="inlineStr">
        <is>
          <t>WH-A01</t>
        </is>
      </c>
      <c r="E103" t="n">
        <v>332</v>
      </c>
      <c r="F103" t="n">
        <v>332</v>
      </c>
      <c r="G103" s="16" t="n">
        <v>209.49</v>
      </c>
      <c r="H103" s="16" t="n">
        <v>69550.67999999999</v>
      </c>
      <c r="I103" s="16" t="n">
        <v>69550.67999999999</v>
      </c>
      <c r="J103" t="n">
        <v>0</v>
      </c>
      <c r="K103" t="n">
        <v>0</v>
      </c>
      <c r="L103" s="12" t="n">
        <v>1</v>
      </c>
      <c r="M103" t="n">
        <v>45</v>
      </c>
      <c r="N103" t="inlineStr">
        <is>
          <t>Accurate</t>
        </is>
      </c>
      <c r="O103" t="inlineStr">
        <is>
          <t>No Variance</t>
        </is>
      </c>
      <c r="P103" t="inlineStr">
        <is>
          <t>Completed</t>
        </is>
      </c>
      <c r="Q103" s="17" t="n">
        <v>46168</v>
      </c>
    </row>
    <row r="104">
      <c r="A104" t="inlineStr">
        <is>
          <t>SKU-0103</t>
        </is>
      </c>
      <c r="B104" t="inlineStr">
        <is>
          <t>Terminal Block</t>
        </is>
      </c>
      <c r="C104" t="inlineStr">
        <is>
          <t>Electrical</t>
        </is>
      </c>
      <c r="D104" t="inlineStr">
        <is>
          <t>WH-B02</t>
        </is>
      </c>
      <c r="E104" t="n">
        <v>57</v>
      </c>
      <c r="F104" t="n">
        <v>57</v>
      </c>
      <c r="G104" s="16" t="n">
        <v>716.46</v>
      </c>
      <c r="H104" s="16" t="n">
        <v>40838.22</v>
      </c>
      <c r="I104" s="16" t="n">
        <v>40838.22</v>
      </c>
      <c r="J104" t="n">
        <v>0</v>
      </c>
      <c r="K104" t="n">
        <v>0</v>
      </c>
      <c r="L104" s="12" t="n">
        <v>1</v>
      </c>
      <c r="M104" t="n">
        <v>34</v>
      </c>
      <c r="N104" t="inlineStr">
        <is>
          <t>Accurate</t>
        </is>
      </c>
      <c r="O104" t="inlineStr">
        <is>
          <t>No Variance</t>
        </is>
      </c>
      <c r="P104" t="inlineStr">
        <is>
          <t>Pending</t>
        </is>
      </c>
      <c r="Q104" s="17" t="n">
        <v>46057</v>
      </c>
    </row>
    <row r="105">
      <c r="A105" t="inlineStr">
        <is>
          <t>SKU-0104</t>
        </is>
      </c>
      <c r="B105" t="inlineStr">
        <is>
          <t>Seal</t>
        </is>
      </c>
      <c r="C105" t="inlineStr">
        <is>
          <t>Mechanical</t>
        </is>
      </c>
      <c r="D105" t="inlineStr">
        <is>
          <t>WH-C02</t>
        </is>
      </c>
      <c r="E105" t="n">
        <v>159</v>
      </c>
      <c r="F105" t="n">
        <v>159</v>
      </c>
      <c r="G105" s="16" t="n">
        <v>238.22</v>
      </c>
      <c r="H105" s="16" t="n">
        <v>37876.98</v>
      </c>
      <c r="I105" s="16" t="n">
        <v>37876.98</v>
      </c>
      <c r="J105" t="n">
        <v>0</v>
      </c>
      <c r="K105" t="n">
        <v>0</v>
      </c>
      <c r="L105" s="12" t="n">
        <v>1</v>
      </c>
      <c r="M105" t="n">
        <v>128</v>
      </c>
      <c r="N105" t="inlineStr">
        <is>
          <t>Accurate</t>
        </is>
      </c>
      <c r="O105" t="inlineStr">
        <is>
          <t>No Variance</t>
        </is>
      </c>
      <c r="P105" t="inlineStr">
        <is>
          <t>Pending</t>
        </is>
      </c>
      <c r="Q105" s="17" t="n">
        <v>46089</v>
      </c>
    </row>
    <row r="106">
      <c r="A106" t="inlineStr">
        <is>
          <t>SKU-0105</t>
        </is>
      </c>
      <c r="B106" t="inlineStr">
        <is>
          <t>Test Lead</t>
        </is>
      </c>
      <c r="C106" t="inlineStr">
        <is>
          <t>Tools</t>
        </is>
      </c>
      <c r="D106" t="inlineStr">
        <is>
          <t>WH-A02</t>
        </is>
      </c>
      <c r="E106" t="n">
        <v>206</v>
      </c>
      <c r="F106" t="n">
        <v>206</v>
      </c>
      <c r="G106" s="16" t="n">
        <v>512.6799999999999</v>
      </c>
      <c r="H106" s="16" t="n">
        <v>105612.08</v>
      </c>
      <c r="I106" s="16" t="n">
        <v>105612.08</v>
      </c>
      <c r="J106" t="n">
        <v>0</v>
      </c>
      <c r="K106" t="n">
        <v>0</v>
      </c>
      <c r="L106" s="12" t="n">
        <v>1</v>
      </c>
      <c r="M106" t="n">
        <v>39</v>
      </c>
      <c r="N106" t="inlineStr">
        <is>
          <t>Accurate</t>
        </is>
      </c>
      <c r="O106" t="inlineStr">
        <is>
          <t>No Variance</t>
        </is>
      </c>
      <c r="P106" t="inlineStr">
        <is>
          <t>Completed</t>
        </is>
      </c>
      <c r="Q106" s="17" t="n">
        <v>46097</v>
      </c>
    </row>
    <row r="107">
      <c r="A107" t="inlineStr">
        <is>
          <t>SKU-0106</t>
        </is>
      </c>
      <c r="B107" t="inlineStr">
        <is>
          <t>Hand Tool Set</t>
        </is>
      </c>
      <c r="C107" t="inlineStr">
        <is>
          <t>Tools</t>
        </is>
      </c>
      <c r="D107" t="inlineStr">
        <is>
          <t>WH-C01</t>
        </is>
      </c>
      <c r="E107" t="n">
        <v>146</v>
      </c>
      <c r="F107" t="n">
        <v>147</v>
      </c>
      <c r="G107" s="16" t="n">
        <v>619.33</v>
      </c>
      <c r="H107" s="16" t="n">
        <v>90422.17999999999</v>
      </c>
      <c r="I107" s="16" t="n">
        <v>91041.50999999999</v>
      </c>
      <c r="J107" t="n">
        <v>1</v>
      </c>
      <c r="K107" t="n">
        <v>1</v>
      </c>
      <c r="L107" s="12" t="n">
        <v>0.9932</v>
      </c>
      <c r="M107" t="n">
        <v>155</v>
      </c>
      <c r="N107" t="inlineStr">
        <is>
          <t>Excess</t>
        </is>
      </c>
      <c r="O107" t="inlineStr">
        <is>
          <t>Unidentified Movement</t>
        </is>
      </c>
      <c r="P107" t="inlineStr">
        <is>
          <t>Pending</t>
        </is>
      </c>
      <c r="Q107" s="17" t="n">
        <v>46248</v>
      </c>
    </row>
    <row r="108">
      <c r="A108" t="inlineStr">
        <is>
          <t>SKU-0107</t>
        </is>
      </c>
      <c r="B108" t="inlineStr">
        <is>
          <t>Seal</t>
        </is>
      </c>
      <c r="C108" t="inlineStr">
        <is>
          <t>Mechanical</t>
        </is>
      </c>
      <c r="D108" t="inlineStr">
        <is>
          <t>WH-C01</t>
        </is>
      </c>
      <c r="E108" t="n">
        <v>257</v>
      </c>
      <c r="F108" t="n">
        <v>257</v>
      </c>
      <c r="G108" s="16" t="n">
        <v>472.71</v>
      </c>
      <c r="H108" s="16" t="n">
        <v>121486.47</v>
      </c>
      <c r="I108" s="16" t="n">
        <v>121486.47</v>
      </c>
      <c r="J108" t="n">
        <v>0</v>
      </c>
      <c r="K108" t="n">
        <v>0</v>
      </c>
      <c r="L108" s="12" t="n">
        <v>1</v>
      </c>
      <c r="M108" t="n">
        <v>144</v>
      </c>
      <c r="N108" t="inlineStr">
        <is>
          <t>Accurate</t>
        </is>
      </c>
      <c r="O108" t="inlineStr">
        <is>
          <t>No Variance</t>
        </is>
      </c>
      <c r="P108" t="inlineStr">
        <is>
          <t>Pending</t>
        </is>
      </c>
      <c r="Q108" s="17" t="n">
        <v>46143</v>
      </c>
    </row>
    <row r="109">
      <c r="A109" t="inlineStr">
        <is>
          <t>SKU-0108</t>
        </is>
      </c>
      <c r="B109" t="inlineStr">
        <is>
          <t>Adhesive</t>
        </is>
      </c>
      <c r="C109" t="inlineStr">
        <is>
          <t>Consumables</t>
        </is>
      </c>
      <c r="D109" t="inlineStr">
        <is>
          <t>WH-C02</t>
        </is>
      </c>
      <c r="E109" t="n">
        <v>132</v>
      </c>
      <c r="F109" t="n">
        <v>132</v>
      </c>
      <c r="G109" s="16" t="n">
        <v>204.66</v>
      </c>
      <c r="H109" s="16" t="n">
        <v>27015.12</v>
      </c>
      <c r="I109" s="16" t="n">
        <v>27015.12</v>
      </c>
      <c r="J109" t="n">
        <v>0</v>
      </c>
      <c r="K109" t="n">
        <v>0</v>
      </c>
      <c r="L109" s="12" t="n">
        <v>1</v>
      </c>
      <c r="M109" t="n">
        <v>110</v>
      </c>
      <c r="N109" t="inlineStr">
        <is>
          <t>Accurate</t>
        </is>
      </c>
      <c r="O109" t="inlineStr">
        <is>
          <t>No Variance</t>
        </is>
      </c>
      <c r="P109" t="inlineStr">
        <is>
          <t>Completed</t>
        </is>
      </c>
      <c r="Q109" s="17" t="n">
        <v>46108</v>
      </c>
    </row>
    <row r="110">
      <c r="A110" t="inlineStr">
        <is>
          <t>SKU-0109</t>
        </is>
      </c>
      <c r="B110" t="inlineStr">
        <is>
          <t>Gauge</t>
        </is>
      </c>
      <c r="C110" t="inlineStr">
        <is>
          <t>Tools</t>
        </is>
      </c>
      <c r="D110" t="inlineStr">
        <is>
          <t>WH-B02</t>
        </is>
      </c>
      <c r="E110" t="n">
        <v>349</v>
      </c>
      <c r="F110" t="n">
        <v>348</v>
      </c>
      <c r="G110" s="16" t="n">
        <v>425.07</v>
      </c>
      <c r="H110" s="16" t="n">
        <v>148349.43</v>
      </c>
      <c r="I110" s="16" t="n">
        <v>147924.36</v>
      </c>
      <c r="J110" t="n">
        <v>-1</v>
      </c>
      <c r="K110" t="n">
        <v>1</v>
      </c>
      <c r="L110" s="12" t="n">
        <v>0.9971</v>
      </c>
      <c r="M110" t="n">
        <v>14</v>
      </c>
      <c r="N110" t="inlineStr">
        <is>
          <t>Shortage</t>
        </is>
      </c>
      <c r="O110" t="inlineStr">
        <is>
          <t>Location Error</t>
        </is>
      </c>
      <c r="P110" t="inlineStr">
        <is>
          <t>Completed</t>
        </is>
      </c>
      <c r="Q110" s="17" t="n">
        <v>46249</v>
      </c>
    </row>
    <row r="111">
      <c r="A111" t="inlineStr">
        <is>
          <t>SKU-0110</t>
        </is>
      </c>
      <c r="B111" t="inlineStr">
        <is>
          <t>Sensor</t>
        </is>
      </c>
      <c r="C111" t="inlineStr">
        <is>
          <t>Electrical</t>
        </is>
      </c>
      <c r="D111" t="inlineStr">
        <is>
          <t>WH-A01</t>
        </is>
      </c>
      <c r="E111" t="n">
        <v>279</v>
      </c>
      <c r="F111" t="n">
        <v>271</v>
      </c>
      <c r="G111" s="16" t="n">
        <v>616.3</v>
      </c>
      <c r="H111" s="16" t="n">
        <v>171947.7</v>
      </c>
      <c r="I111" s="16" t="n">
        <v>167017.3</v>
      </c>
      <c r="J111" t="n">
        <v>-8</v>
      </c>
      <c r="K111" t="n">
        <v>8</v>
      </c>
      <c r="L111" s="12" t="n">
        <v>0.9713000000000001</v>
      </c>
      <c r="M111" t="n">
        <v>109</v>
      </c>
      <c r="N111" t="inlineStr">
        <is>
          <t>Shortage</t>
        </is>
      </c>
      <c r="O111" t="inlineStr">
        <is>
          <t>Location Error</t>
        </is>
      </c>
      <c r="P111" t="inlineStr">
        <is>
          <t>Completed</t>
        </is>
      </c>
      <c r="Q111" s="17" t="n">
        <v>46147</v>
      </c>
    </row>
    <row r="112">
      <c r="A112" t="inlineStr">
        <is>
          <t>SKU-0111</t>
        </is>
      </c>
      <c r="B112" t="inlineStr">
        <is>
          <t>Protective Film</t>
        </is>
      </c>
      <c r="C112" t="inlineStr">
        <is>
          <t>Consumables</t>
        </is>
      </c>
      <c r="D112" t="inlineStr">
        <is>
          <t>WH-C01</t>
        </is>
      </c>
      <c r="E112" t="n">
        <v>364</v>
      </c>
      <c r="F112" t="n">
        <v>364</v>
      </c>
      <c r="G112" s="16" t="n">
        <v>75.63</v>
      </c>
      <c r="H112" s="16" t="n">
        <v>27529.32</v>
      </c>
      <c r="I112" s="16" t="n">
        <v>27529.32</v>
      </c>
      <c r="J112" t="n">
        <v>0</v>
      </c>
      <c r="K112" t="n">
        <v>0</v>
      </c>
      <c r="L112" s="12" t="n">
        <v>1</v>
      </c>
      <c r="M112" t="n">
        <v>89</v>
      </c>
      <c r="N112" t="inlineStr">
        <is>
          <t>Accurate</t>
        </is>
      </c>
      <c r="O112" t="inlineStr">
        <is>
          <t>No Variance</t>
        </is>
      </c>
      <c r="P112" t="inlineStr">
        <is>
          <t>Pending</t>
        </is>
      </c>
      <c r="Q112" s="17" t="n">
        <v>46108</v>
      </c>
    </row>
    <row r="113">
      <c r="A113" t="inlineStr">
        <is>
          <t>SKU-0112</t>
        </is>
      </c>
      <c r="B113" t="inlineStr">
        <is>
          <t>Test Lead</t>
        </is>
      </c>
      <c r="C113" t="inlineStr">
        <is>
          <t>Tools</t>
        </is>
      </c>
      <c r="D113" t="inlineStr">
        <is>
          <t>WH-A01</t>
        </is>
      </c>
      <c r="E113" t="n">
        <v>326</v>
      </c>
      <c r="F113" t="n">
        <v>326</v>
      </c>
      <c r="G113" s="16" t="n">
        <v>539.4400000000001</v>
      </c>
      <c r="H113" s="16" t="n">
        <v>175857.44</v>
      </c>
      <c r="I113" s="16" t="n">
        <v>175857.44</v>
      </c>
      <c r="J113" t="n">
        <v>0</v>
      </c>
      <c r="K113" t="n">
        <v>0</v>
      </c>
      <c r="L113" s="12" t="n">
        <v>1</v>
      </c>
      <c r="M113" t="n">
        <v>78</v>
      </c>
      <c r="N113" t="inlineStr">
        <is>
          <t>Accurate</t>
        </is>
      </c>
      <c r="O113" t="inlineStr">
        <is>
          <t>No Variance</t>
        </is>
      </c>
      <c r="P113" t="inlineStr">
        <is>
          <t>Completed</t>
        </is>
      </c>
      <c r="Q113" s="17" t="n">
        <v>46218</v>
      </c>
    </row>
    <row r="114">
      <c r="A114" t="inlineStr">
        <is>
          <t>SKU-0113</t>
        </is>
      </c>
      <c r="B114" t="inlineStr">
        <is>
          <t>Sensor</t>
        </is>
      </c>
      <c r="C114" t="inlineStr">
        <is>
          <t>Electrical</t>
        </is>
      </c>
      <c r="D114" t="inlineStr">
        <is>
          <t>WH-A01</t>
        </is>
      </c>
      <c r="E114" t="n">
        <v>399</v>
      </c>
      <c r="F114" t="n">
        <v>399</v>
      </c>
      <c r="G114" s="16" t="n">
        <v>742.71</v>
      </c>
      <c r="H114" s="16" t="n">
        <v>296341.29</v>
      </c>
      <c r="I114" s="16" t="n">
        <v>296341.29</v>
      </c>
      <c r="J114" t="n">
        <v>0</v>
      </c>
      <c r="K114" t="n">
        <v>0</v>
      </c>
      <c r="L114" s="12" t="n">
        <v>1</v>
      </c>
      <c r="M114" t="n">
        <v>118</v>
      </c>
      <c r="N114" t="inlineStr">
        <is>
          <t>Accurate</t>
        </is>
      </c>
      <c r="O114" t="inlineStr">
        <is>
          <t>No Variance</t>
        </is>
      </c>
      <c r="P114" t="inlineStr">
        <is>
          <t>Completed</t>
        </is>
      </c>
      <c r="Q114" s="17" t="n">
        <v>46204</v>
      </c>
    </row>
    <row r="115">
      <c r="A115" t="inlineStr">
        <is>
          <t>SKU-0114</t>
        </is>
      </c>
      <c r="B115" t="inlineStr">
        <is>
          <t>Cleaning Kit</t>
        </is>
      </c>
      <c r="C115" t="inlineStr">
        <is>
          <t>Consumables</t>
        </is>
      </c>
      <c r="D115" t="inlineStr">
        <is>
          <t>WH-A01</t>
        </is>
      </c>
      <c r="E115" t="n">
        <v>176</v>
      </c>
      <c r="F115" t="n">
        <v>177</v>
      </c>
      <c r="G115" s="16" t="n">
        <v>309.83</v>
      </c>
      <c r="H115" s="16" t="n">
        <v>54530.08</v>
      </c>
      <c r="I115" s="16" t="n">
        <v>54839.91</v>
      </c>
      <c r="J115" t="n">
        <v>1</v>
      </c>
      <c r="K115" t="n">
        <v>1</v>
      </c>
      <c r="L115" s="12" t="n">
        <v>0.9943</v>
      </c>
      <c r="M115" t="n">
        <v>115</v>
      </c>
      <c r="N115" t="inlineStr">
        <is>
          <t>Excess</t>
        </is>
      </c>
      <c r="O115" t="inlineStr">
        <is>
          <t>Location Error</t>
        </is>
      </c>
      <c r="P115" t="inlineStr">
        <is>
          <t>Completed</t>
        </is>
      </c>
      <c r="Q115" s="17" t="n">
        <v>46162</v>
      </c>
    </row>
    <row r="116">
      <c r="A116" t="inlineStr">
        <is>
          <t>SKU-0115</t>
        </is>
      </c>
      <c r="B116" t="inlineStr">
        <is>
          <t>Test Lead</t>
        </is>
      </c>
      <c r="C116" t="inlineStr">
        <is>
          <t>Tools</t>
        </is>
      </c>
      <c r="D116" t="inlineStr">
        <is>
          <t>WH-C02</t>
        </is>
      </c>
      <c r="E116" t="n">
        <v>415</v>
      </c>
      <c r="F116" t="n">
        <v>415</v>
      </c>
      <c r="G116" s="16" t="n">
        <v>155.41</v>
      </c>
      <c r="H116" s="16" t="n">
        <v>64495.15</v>
      </c>
      <c r="I116" s="16" t="n">
        <v>64495.15</v>
      </c>
      <c r="J116" t="n">
        <v>0</v>
      </c>
      <c r="K116" t="n">
        <v>0</v>
      </c>
      <c r="L116" s="12" t="n">
        <v>1</v>
      </c>
      <c r="M116" t="n">
        <v>161</v>
      </c>
      <c r="N116" t="inlineStr">
        <is>
          <t>Accurate</t>
        </is>
      </c>
      <c r="O116" t="inlineStr">
        <is>
          <t>No Variance</t>
        </is>
      </c>
      <c r="P116" t="inlineStr">
        <is>
          <t>Pending</t>
        </is>
      </c>
      <c r="Q116" s="17" t="n">
        <v>46185</v>
      </c>
    </row>
    <row r="117">
      <c r="A117" t="inlineStr">
        <is>
          <t>SKU-0116</t>
        </is>
      </c>
      <c r="B117" t="inlineStr">
        <is>
          <t>Seal</t>
        </is>
      </c>
      <c r="C117" t="inlineStr">
        <is>
          <t>Mechanical</t>
        </is>
      </c>
      <c r="D117" t="inlineStr">
        <is>
          <t>WH-C01</t>
        </is>
      </c>
      <c r="E117" t="n">
        <v>83</v>
      </c>
      <c r="F117" t="n">
        <v>83</v>
      </c>
      <c r="G117" s="16" t="n">
        <v>545.12</v>
      </c>
      <c r="H117" s="16" t="n">
        <v>45244.96</v>
      </c>
      <c r="I117" s="16" t="n">
        <v>45244.96</v>
      </c>
      <c r="J117" t="n">
        <v>0</v>
      </c>
      <c r="K117" t="n">
        <v>0</v>
      </c>
      <c r="L117" s="12" t="n">
        <v>1</v>
      </c>
      <c r="M117" t="n">
        <v>122</v>
      </c>
      <c r="N117" t="inlineStr">
        <is>
          <t>Accurate</t>
        </is>
      </c>
      <c r="O117" t="inlineStr">
        <is>
          <t>No Variance</t>
        </is>
      </c>
      <c r="P117" t="inlineStr">
        <is>
          <t>Completed</t>
        </is>
      </c>
      <c r="Q117" s="17" t="n">
        <v>46197</v>
      </c>
    </row>
    <row r="118">
      <c r="A118" t="inlineStr">
        <is>
          <t>SKU-0117</t>
        </is>
      </c>
      <c r="B118" t="inlineStr">
        <is>
          <t>Sensor</t>
        </is>
      </c>
      <c r="C118" t="inlineStr">
        <is>
          <t>Electrical</t>
        </is>
      </c>
      <c r="D118" t="inlineStr">
        <is>
          <t>WH-B01</t>
        </is>
      </c>
      <c r="E118" t="n">
        <v>356</v>
      </c>
      <c r="F118" t="n">
        <v>356</v>
      </c>
      <c r="G118" s="16" t="n">
        <v>70.19</v>
      </c>
      <c r="H118" s="16" t="n">
        <v>24987.64</v>
      </c>
      <c r="I118" s="16" t="n">
        <v>24987.64</v>
      </c>
      <c r="J118" t="n">
        <v>0</v>
      </c>
      <c r="K118" t="n">
        <v>0</v>
      </c>
      <c r="L118" s="12" t="n">
        <v>1</v>
      </c>
      <c r="M118" t="n">
        <v>93</v>
      </c>
      <c r="N118" t="inlineStr">
        <is>
          <t>Accurate</t>
        </is>
      </c>
      <c r="O118" t="inlineStr">
        <is>
          <t>No Variance</t>
        </is>
      </c>
      <c r="P118" t="inlineStr">
        <is>
          <t>Completed</t>
        </is>
      </c>
      <c r="Q118" s="17" t="n">
        <v>46190</v>
      </c>
    </row>
    <row r="119">
      <c r="A119" t="inlineStr">
        <is>
          <t>SKU-0118</t>
        </is>
      </c>
      <c r="B119" t="inlineStr">
        <is>
          <t>Hand Tool Set</t>
        </is>
      </c>
      <c r="C119" t="inlineStr">
        <is>
          <t>Tools</t>
        </is>
      </c>
      <c r="D119" t="inlineStr">
        <is>
          <t>WH-B02</t>
        </is>
      </c>
      <c r="E119" t="n">
        <v>442</v>
      </c>
      <c r="F119" t="n">
        <v>442</v>
      </c>
      <c r="G119" s="16" t="n">
        <v>849.47</v>
      </c>
      <c r="H119" s="16" t="n">
        <v>375465.74</v>
      </c>
      <c r="I119" s="16" t="n">
        <v>375465.74</v>
      </c>
      <c r="J119" t="n">
        <v>0</v>
      </c>
      <c r="K119" t="n">
        <v>0</v>
      </c>
      <c r="L119" s="12" t="n">
        <v>1</v>
      </c>
      <c r="M119" t="n">
        <v>128</v>
      </c>
      <c r="N119" t="inlineStr">
        <is>
          <t>Accurate</t>
        </is>
      </c>
      <c r="O119" t="inlineStr">
        <is>
          <t>No Variance</t>
        </is>
      </c>
      <c r="P119" t="inlineStr">
        <is>
          <t>Completed</t>
        </is>
      </c>
      <c r="Q119" s="17" t="n">
        <v>46087</v>
      </c>
    </row>
    <row r="120">
      <c r="A120" t="inlineStr">
        <is>
          <t>SKU-0119</t>
        </is>
      </c>
      <c r="B120" t="inlineStr">
        <is>
          <t>Test Lead</t>
        </is>
      </c>
      <c r="C120" t="inlineStr">
        <is>
          <t>Tools</t>
        </is>
      </c>
      <c r="D120" t="inlineStr">
        <is>
          <t>WH-B01</t>
        </is>
      </c>
      <c r="E120" t="n">
        <v>304</v>
      </c>
      <c r="F120" t="n">
        <v>304</v>
      </c>
      <c r="G120" s="16" t="n">
        <v>596.79</v>
      </c>
      <c r="H120" s="16" t="n">
        <v>181424.16</v>
      </c>
      <c r="I120" s="16" t="n">
        <v>181424.16</v>
      </c>
      <c r="J120" t="n">
        <v>0</v>
      </c>
      <c r="K120" t="n">
        <v>0</v>
      </c>
      <c r="L120" s="12" t="n">
        <v>1</v>
      </c>
      <c r="M120" t="n">
        <v>10</v>
      </c>
      <c r="N120" t="inlineStr">
        <is>
          <t>Accurate</t>
        </is>
      </c>
      <c r="O120" t="inlineStr">
        <is>
          <t>No Variance</t>
        </is>
      </c>
      <c r="P120" t="inlineStr">
        <is>
          <t>Pending</t>
        </is>
      </c>
      <c r="Q120" s="17" t="n">
        <v>46097</v>
      </c>
    </row>
    <row r="121">
      <c r="A121" t="inlineStr">
        <is>
          <t>SKU-0120</t>
        </is>
      </c>
      <c r="B121" t="inlineStr">
        <is>
          <t>Terminal Block</t>
        </is>
      </c>
      <c r="C121" t="inlineStr">
        <is>
          <t>Electrical</t>
        </is>
      </c>
      <c r="D121" t="inlineStr">
        <is>
          <t>WH-C02</t>
        </is>
      </c>
      <c r="E121" t="n">
        <v>408</v>
      </c>
      <c r="F121" t="n">
        <v>406</v>
      </c>
      <c r="G121" s="16" t="n">
        <v>774.74</v>
      </c>
      <c r="H121" s="16" t="n">
        <v>316093.92</v>
      </c>
      <c r="I121" s="16" t="n">
        <v>314544.44</v>
      </c>
      <c r="J121" t="n">
        <v>-2</v>
      </c>
      <c r="K121" t="n">
        <v>2</v>
      </c>
      <c r="L121" s="12" t="n">
        <v>0.9951</v>
      </c>
      <c r="M121" t="n">
        <v>132</v>
      </c>
      <c r="N121" t="inlineStr">
        <is>
          <t>Shortage</t>
        </is>
      </c>
      <c r="O121" t="inlineStr">
        <is>
          <t>Transaction Delay</t>
        </is>
      </c>
      <c r="P121" t="inlineStr">
        <is>
          <t>Completed</t>
        </is>
      </c>
      <c r="Q121" s="17" t="n">
        <v>46182</v>
      </c>
    </row>
  </sheetData>
  <autoFilter ref="A1:Q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Inventory Control KPI Calculations</t>
        </is>
      </c>
    </row>
    <row r="3">
      <c r="A3" s="19" t="inlineStr">
        <is>
          <t>Total SKU Count</t>
        </is>
      </c>
      <c r="B3" s="20">
        <f>COUNTA(Raw_Data!A2:A121)</f>
        <v/>
      </c>
      <c r="D3" s="21" t="inlineStr">
        <is>
          <t>Location</t>
        </is>
      </c>
      <c r="E3" s="21" t="inlineStr">
        <is>
          <t>SKU Count</t>
        </is>
      </c>
      <c r="F3" s="21" t="inlineStr">
        <is>
          <t>System Value</t>
        </is>
      </c>
      <c r="G3" s="21" t="inlineStr">
        <is>
          <t>Variance Qty</t>
        </is>
      </c>
      <c r="H3" s="21" t="inlineStr">
        <is>
          <t>Accuracy %</t>
        </is>
      </c>
    </row>
    <row r="4">
      <c r="A4" s="19" t="inlineStr">
        <is>
          <t>Total System Inventory Value (AED)</t>
        </is>
      </c>
      <c r="B4" s="22">
        <f>SUM(Raw_Data!H2:H121)</f>
        <v/>
      </c>
      <c r="D4" t="inlineStr">
        <is>
          <t>WH-A01</t>
        </is>
      </c>
      <c r="E4">
        <f>COUNTIF(Raw_Data!D2:D121,D4)</f>
        <v/>
      </c>
      <c r="F4" s="16">
        <f>SUMIF(Raw_Data!D2:D121,D4,Raw_Data!H2:H121)</f>
        <v/>
      </c>
      <c r="G4">
        <f>SUMIF(Raw_Data!D2:D121,D4,Raw_Data!J2:J121)</f>
        <v/>
      </c>
      <c r="H4" s="12">
        <f>COUNTIFS(Raw_Data!D2:D121,D4,Raw_Data!N2:N121,"Accurate")/COUNTIF(Raw_Data!D2:D121,D4)</f>
        <v/>
      </c>
    </row>
    <row r="5">
      <c r="A5" s="19" t="inlineStr">
        <is>
          <t>Total Physical Inventory Value (AED)</t>
        </is>
      </c>
      <c r="B5" s="22">
        <f>SUM(Raw_Data!I2:I121)</f>
        <v/>
      </c>
      <c r="D5" t="inlineStr">
        <is>
          <t>WH-A02</t>
        </is>
      </c>
      <c r="E5">
        <f>COUNTIF(Raw_Data!D2:D121,D5)</f>
        <v/>
      </c>
      <c r="F5" s="16">
        <f>SUMIF(Raw_Data!D2:D121,D5,Raw_Data!H2:H121)</f>
        <v/>
      </c>
      <c r="G5">
        <f>SUMIF(Raw_Data!D2:D121,D5,Raw_Data!J2:J121)</f>
        <v/>
      </c>
      <c r="H5" s="12">
        <f>COUNTIFS(Raw_Data!D2:D121,D5,Raw_Data!N2:N121,"Accurate")/COUNTIF(Raw_Data!D2:D121,D5)</f>
        <v/>
      </c>
    </row>
    <row r="6">
      <c r="A6" s="19" t="inlineStr">
        <is>
          <t>Total Variance Quantity</t>
        </is>
      </c>
      <c r="B6" s="23">
        <f>SUM(Raw_Data!J2:J121)</f>
        <v/>
      </c>
      <c r="D6" t="inlineStr">
        <is>
          <t>WH-B01</t>
        </is>
      </c>
      <c r="E6">
        <f>COUNTIF(Raw_Data!D2:D121,D6)</f>
        <v/>
      </c>
      <c r="F6" s="16">
        <f>SUMIF(Raw_Data!D2:D121,D6,Raw_Data!H2:H121)</f>
        <v/>
      </c>
      <c r="G6">
        <f>SUMIF(Raw_Data!D2:D121,D6,Raw_Data!J2:J121)</f>
        <v/>
      </c>
      <c r="H6" s="12">
        <f>COUNTIFS(Raw_Data!D2:D121,D6,Raw_Data!N2:N121,"Accurate")/COUNTIF(Raw_Data!D2:D121,D6)</f>
        <v/>
      </c>
    </row>
    <row r="7">
      <c r="A7" s="19" t="inlineStr">
        <is>
          <t>Absolute Variance Quantity</t>
        </is>
      </c>
      <c r="B7" s="23">
        <f>SUM(Raw_Data!K2:K121)</f>
        <v/>
      </c>
      <c r="D7" t="inlineStr">
        <is>
          <t>WH-B02</t>
        </is>
      </c>
      <c r="E7">
        <f>COUNTIF(Raw_Data!D2:D121,D7)</f>
        <v/>
      </c>
      <c r="F7" s="16">
        <f>SUMIF(Raw_Data!D2:D121,D7,Raw_Data!H2:H121)</f>
        <v/>
      </c>
      <c r="G7">
        <f>SUMIF(Raw_Data!D2:D121,D7,Raw_Data!J2:J121)</f>
        <v/>
      </c>
      <c r="H7" s="12">
        <f>COUNTIFS(Raw_Data!D2:D121,D7,Raw_Data!N2:N121,"Accurate")/COUNTIF(Raw_Data!D2:D121,D7)</f>
        <v/>
      </c>
    </row>
    <row r="8">
      <c r="A8" s="19" t="inlineStr">
        <is>
          <t>Overall Stock Accuracy %</t>
        </is>
      </c>
      <c r="B8" s="24">
        <f>COUNTIF(Raw_Data!N2:N121,"Accurate")/COUNTA(Raw_Data!A2:A121)</f>
        <v/>
      </c>
      <c r="D8" t="inlineStr">
        <is>
          <t>WH-C01</t>
        </is>
      </c>
      <c r="E8">
        <f>COUNTIF(Raw_Data!D2:D121,D8)</f>
        <v/>
      </c>
      <c r="F8" s="16">
        <f>SUMIF(Raw_Data!D2:D121,D8,Raw_Data!H2:H121)</f>
        <v/>
      </c>
      <c r="G8">
        <f>SUMIF(Raw_Data!D2:D121,D8,Raw_Data!J2:J121)</f>
        <v/>
      </c>
      <c r="H8" s="12">
        <f>COUNTIFS(Raw_Data!D2:D121,D8,Raw_Data!N2:N121,"Accurate")/COUNTIF(Raw_Data!D2:D121,D8)</f>
        <v/>
      </c>
    </row>
    <row r="9">
      <c r="A9" s="19" t="inlineStr">
        <is>
          <t>Accurate SKUs</t>
        </is>
      </c>
      <c r="B9" s="20">
        <f>COUNTIF(Raw_Data!N2:N121,"Accurate")</f>
        <v/>
      </c>
      <c r="D9" t="inlineStr">
        <is>
          <t>WH-C02</t>
        </is>
      </c>
      <c r="E9">
        <f>COUNTIF(Raw_Data!D2:D121,D9)</f>
        <v/>
      </c>
      <c r="F9" s="16">
        <f>SUMIF(Raw_Data!D2:D121,D9,Raw_Data!H2:H121)</f>
        <v/>
      </c>
      <c r="G9">
        <f>SUMIF(Raw_Data!D2:D121,D9,Raw_Data!J2:J121)</f>
        <v/>
      </c>
      <c r="H9" s="12">
        <f>COUNTIFS(Raw_Data!D2:D121,D9,Raw_Data!N2:N121,"Accurate")/COUNTIF(Raw_Data!D2:D121,D9)</f>
        <v/>
      </c>
    </row>
    <row r="10">
      <c r="A10" s="19" t="inlineStr">
        <is>
          <t>Shortage SKUs</t>
        </is>
      </c>
      <c r="B10" s="20">
        <f>COUNTIF(Raw_Data!N2:N121,"Shortage")</f>
        <v/>
      </c>
    </row>
    <row r="11">
      <c r="A11" s="19" t="inlineStr">
        <is>
          <t>Excess SKUs</t>
        </is>
      </c>
      <c r="B11" s="20">
        <f>COUNTIF(Raw_Data!N2:N121,"Excess")</f>
        <v/>
      </c>
      <c r="D11" s="21" t="inlineStr">
        <is>
          <t>Category</t>
        </is>
      </c>
      <c r="E11" s="21" t="inlineStr">
        <is>
          <t>SKU Count</t>
        </is>
      </c>
      <c r="F11" s="21" t="inlineStr">
        <is>
          <t>System Value</t>
        </is>
      </c>
      <c r="G11" s="21" t="inlineStr">
        <is>
          <t>Shortage</t>
        </is>
      </c>
      <c r="H11" s="21" t="inlineStr">
        <is>
          <t>Excess</t>
        </is>
      </c>
    </row>
    <row r="12">
      <c r="A12" s="19" t="inlineStr">
        <is>
          <t>Cycle Counts Completed</t>
        </is>
      </c>
      <c r="B12" s="24">
        <f>COUNTIF(Raw_Data!P2:P121,"Completed")</f>
        <v/>
      </c>
      <c r="D12" t="inlineStr">
        <is>
          <t>Electrical</t>
        </is>
      </c>
      <c r="E12">
        <f>COUNTIF(Raw_Data!C2:C121,D12)</f>
        <v/>
      </c>
      <c r="F12" s="16">
        <f>SUMIF(Raw_Data!C2:C121,D12,Raw_Data!H2:H121)</f>
        <v/>
      </c>
      <c r="G12">
        <f>COUNTIFS(Raw_Data!C2:C121,D12,Raw_Data!N2:N121,"Shortage")</f>
        <v/>
      </c>
      <c r="H12">
        <f>COUNTIFS(Raw_Data!C2:C121,D12,Raw_Data!N2:N121,"Excess")</f>
        <v/>
      </c>
    </row>
    <row r="13">
      <c r="A13" s="19" t="inlineStr">
        <is>
          <t>Cycle Count Completion %</t>
        </is>
      </c>
      <c r="B13" s="20">
        <f>COUNTIF(Raw_Data!P2:P121,"Completed")/COUNTA(Raw_Data!A2:A121)</f>
        <v/>
      </c>
      <c r="D13" t="inlineStr">
        <is>
          <t>Mechanical</t>
        </is>
      </c>
      <c r="E13">
        <f>COUNTIF(Raw_Data!C2:C121,D13)</f>
        <v/>
      </c>
      <c r="F13" s="16">
        <f>SUMIF(Raw_Data!C2:C121,D13,Raw_Data!H2:H121)</f>
        <v/>
      </c>
      <c r="G13">
        <f>COUNTIFS(Raw_Data!C2:C121,D13,Raw_Data!N2:N121,"Shortage")</f>
        <v/>
      </c>
      <c r="H13">
        <f>COUNTIFS(Raw_Data!C2:C121,D13,Raw_Data!N2:N121,"Excess")</f>
        <v/>
      </c>
    </row>
    <row r="14">
      <c r="D14" t="inlineStr">
        <is>
          <t>Consumables</t>
        </is>
      </c>
      <c r="E14">
        <f>COUNTIF(Raw_Data!C2:C121,D14)</f>
        <v/>
      </c>
      <c r="F14" s="16">
        <f>SUMIF(Raw_Data!C2:C121,D14,Raw_Data!H2:H121)</f>
        <v/>
      </c>
      <c r="G14">
        <f>COUNTIFS(Raw_Data!C2:C121,D14,Raw_Data!N2:N121,"Shortage")</f>
        <v/>
      </c>
      <c r="H14">
        <f>COUNTIFS(Raw_Data!C2:C121,D14,Raw_Data!N2:N121,"Excess")</f>
        <v/>
      </c>
    </row>
    <row r="15">
      <c r="D15" t="inlineStr">
        <is>
          <t>Tools</t>
        </is>
      </c>
      <c r="E15">
        <f>COUNTIF(Raw_Data!C2:C121,D15)</f>
        <v/>
      </c>
      <c r="F15" s="16">
        <f>SUMIF(Raw_Data!C2:C121,D15,Raw_Data!H2:H121)</f>
        <v/>
      </c>
      <c r="G15">
        <f>COUNTIFS(Raw_Data!C2:C121,D15,Raw_Data!N2:N121,"Shortage")</f>
        <v/>
      </c>
      <c r="H15">
        <f>COUNTIFS(Raw_Data!C2:C121,D15,Raw_Data!N2:N121,"Excess")</f>
        <v/>
      </c>
    </row>
    <row r="16">
      <c r="D16" t="inlineStr">
        <is>
          <t>Safety</t>
        </is>
      </c>
      <c r="E16">
        <f>COUNTIF(Raw_Data!C2:C121,D16)</f>
        <v/>
      </c>
      <c r="F16" s="16">
        <f>SUMIF(Raw_Data!C2:C121,D16,Raw_Data!H2:H121)</f>
        <v/>
      </c>
      <c r="G16">
        <f>COUNTIFS(Raw_Data!C2:C121,D16,Raw_Data!N2:N121,"Shortage")</f>
        <v/>
      </c>
      <c r="H16">
        <f>COUNTIFS(Raw_Data!C2:C121,D16,Raw_Data!N2:N121,"Excess")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5" t="inlineStr">
        <is>
          <t>PROJECT: Inventory Control &amp; Stock Accuracy Dashboard</t>
        </is>
      </c>
    </row>
    <row r="3" ht="38" customHeight="1">
      <c r="A3" s="19" t="inlineStr">
        <is>
          <t>Project Type</t>
        </is>
      </c>
      <c r="B3" s="26" t="inlineStr">
        <is>
          <t>Professional portfolio project / simulated warehouse analytics</t>
        </is>
      </c>
    </row>
    <row r="4" ht="38" customHeight="1">
      <c r="A4" s="19" t="inlineStr">
        <is>
          <t>Objective</t>
        </is>
      </c>
      <c r="B4" s="26" t="inlineStr">
        <is>
          <t>Monitor inventory accuracy, identify stock discrepancies, track excess/shortage and support warehouse decision-making.</t>
        </is>
      </c>
    </row>
    <row r="5" ht="38" customHeight="1">
      <c r="A5" s="19" t="inlineStr">
        <is>
          <t>Business Problem</t>
        </is>
      </c>
      <c r="B5" s="26" t="inlineStr">
        <is>
          <t>System stock and physical stock can differ because of counting errors, location errors, delayed transactions and unidentified movements.</t>
        </is>
      </c>
    </row>
    <row r="6" ht="38" customHeight="1">
      <c r="A6" s="19" t="inlineStr">
        <is>
          <t>Solution</t>
        </is>
      </c>
      <c r="B6" s="26" t="inlineStr">
        <is>
          <t>A structured inventory dataset with KPI calculations and an executive dashboard for stock accuracy, variance and warehouse performance.</t>
        </is>
      </c>
    </row>
    <row r="7" ht="38" customHeight="1">
      <c r="A7" s="19" t="inlineStr">
        <is>
          <t>Tools</t>
        </is>
      </c>
      <c r="B7" s="26" t="inlineStr">
        <is>
          <t>Microsoft Excel; formulas; conditional formatting; charts. The dataset can also be imported into Power BI.</t>
        </is>
      </c>
    </row>
    <row r="8" ht="38" customHeight="1">
      <c r="A8" s="19" t="inlineStr">
        <is>
          <t>Key KPIs</t>
        </is>
      </c>
      <c r="B8" s="26" t="inlineStr">
        <is>
          <t>Total SKUs, inventory value, stock accuracy %, absolute variance, shortage SKUs, excess SKUs, cycle-count completion %.</t>
        </is>
      </c>
    </row>
    <row r="9" ht="38" customHeight="1">
      <c r="A9" s="19" t="inlineStr">
        <is>
          <t>Data Note</t>
        </is>
      </c>
      <c r="B9" s="26" t="inlineStr">
        <is>
          <t>All records are synthetic and created only for portfolio demonstration. No confidential employer/customer data is used.</t>
        </is>
      </c>
    </row>
    <row r="10" ht="38" customHeight="1">
      <c r="A10" s="19" t="inlineStr">
        <is>
          <t>Recommended Next Step</t>
        </is>
      </c>
      <c r="B10" s="26" t="inlineStr">
        <is>
          <t>Recreate the dashboard in Power BI using Raw_Data as the source and publish screenshots / a project case study on the portfolio.</t>
        </is>
      </c>
    </row>
  </sheetData>
  <mergeCells count="9">
    <mergeCell ref="B4:F4"/>
    <mergeCell ref="B7:F7"/>
    <mergeCell ref="B6:F6"/>
    <mergeCell ref="B10:F10"/>
    <mergeCell ref="A1:F1"/>
    <mergeCell ref="B3:F3"/>
    <mergeCell ref="B5:F5"/>
    <mergeCell ref="B8:F8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2026-08-29T12:44:26Z</dcterms:created>
  <dcterms:modified xmlns:dcterms="http://purl.org/dc/terms/" xmlns:xsi="http://www.w3.org/2001/XMLSchema-instance" xsi:type="dcterms:W3CDTF">2026-08-29T12:44:26Z</dcterms:modified>
</cp:coreProperties>
</file>